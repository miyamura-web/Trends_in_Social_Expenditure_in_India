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. Self Projects\5. Trends of Social Exxpenditure in India\"/>
    </mc:Choice>
  </mc:AlternateContent>
  <bookViews>
    <workbookView xWindow="0" yWindow="0" windowWidth="17256" windowHeight="5676" activeTab="4"/>
  </bookViews>
  <sheets>
    <sheet name="Combined" sheetId="1" r:id="rId1"/>
    <sheet name="Ex on Edu" sheetId="7" r:id="rId2"/>
    <sheet name="Ex on H" sheetId="8" r:id="rId3"/>
    <sheet name="Ex on Welfare" sheetId="9" r:id="rId4"/>
    <sheet name="State wise Expenditure" sheetId="2" r:id="rId5"/>
    <sheet name="Per Capita SE" sheetId="3" r:id="rId6"/>
    <sheet name="Per capita Growth" sheetId="6" r:id="rId7"/>
    <sheet name="Growth in Expenditure" sheetId="4" r:id="rId8"/>
    <sheet name="Share of TE (%)" sheetId="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5" l="1"/>
  <c r="E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3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3" i="7"/>
  <c r="E5" i="6"/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4" i="5"/>
  <c r="E5" i="3"/>
  <c r="E4" i="3"/>
</calcChain>
</file>

<file path=xl/sharedStrings.xml><?xml version="1.0" encoding="utf-8"?>
<sst xmlns="http://schemas.openxmlformats.org/spreadsheetml/2006/main" count="211" uniqueCount="114">
  <si>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</si>
  <si>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</si>
  <si>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</si>
  <si>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</si>
  <si>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</si>
  <si>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</si>
  <si>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</si>
  <si>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</si>
  <si>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</si>
  <si>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</si>
  <si>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</si>
  <si>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</si>
  <si>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</si>
  <si>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</si>
  <si>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</si>
  <si>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</si>
  <si>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</si>
  <si>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</si>
  <si>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</si>
  <si>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>Year</t>
  </si>
  <si>
    <t>Nominal GDP</t>
  </si>
  <si>
    <t>Real GDP</t>
  </si>
  <si>
    <t>Social Sector
 Expenditure</t>
  </si>
  <si>
    <t>1. Revenue 
Expenditure</t>
  </si>
  <si>
    <t>(a) Education, Sports, 
Art and Culture</t>
  </si>
  <si>
    <t>(b) Medical and 
Public Health</t>
  </si>
  <si>
    <t>(c) Urban 
Development</t>
  </si>
  <si>
    <t>(d) Rural 
Development</t>
  </si>
  <si>
    <t>(e) Social Security 
and Welfare</t>
  </si>
  <si>
    <t>2. Capital 
Expenditure</t>
  </si>
  <si>
    <t>State/UT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</si>
  <si>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</si>
  <si>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</si>
  <si>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</si>
  <si>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</si>
  <si>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</si>
  <si>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</si>
  <si>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</si>
  <si>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</si>
  <si>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</si>
  <si>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</si>
  <si>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</si>
  <si>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</si>
  <si>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</si>
  <si>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</si>
  <si>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</si>
  <si>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</si>
  <si>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</si>
  <si>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</si>
  <si>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</si>
  <si>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</si>
  <si>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</si>
  <si>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</si>
  <si>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</si>
  <si>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</si>
  <si>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</si>
  <si>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</si>
  <si>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</si>
  <si>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</si>
  <si>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</si>
  <si>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</si>
  <si>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</si>
  <si>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</si>
  <si>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</si>
  <si>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</si>
  <si>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</si>
  <si>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</si>
  <si>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</si>
  <si>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</si>
  <si>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</si>
  <si>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</si>
  <si>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–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</si>
  <si>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</si>
  <si>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</si>
  <si>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</si>
  <si>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</si>
  <si>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</si>
  <si>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</si>
  <si>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</si>
  <si>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</si>
  <si>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2023-24</t>
  </si>
  <si>
    <t>2024-25</t>
  </si>
  <si>
    <t>Population</t>
  </si>
  <si>
    <t>Per capita expenditure</t>
  </si>
  <si>
    <t>Social Expenditure</t>
  </si>
  <si>
    <t>Growth in Social
 Expenditure (%)</t>
  </si>
  <si>
    <t>2006-07</t>
  </si>
  <si>
    <t>Total Expenditure</t>
  </si>
  <si>
    <t>Share of Social Services in Total Expenditure (%)</t>
  </si>
  <si>
    <t>Capital Ex of SE</t>
  </si>
  <si>
    <t>Per Capita Capital Outlay</t>
  </si>
  <si>
    <t>% of expenditure on Education</t>
  </si>
  <si>
    <t>% of expenditure on Health</t>
  </si>
  <si>
    <t>% of expenditure in Welfare</t>
  </si>
  <si>
    <t>CAGR</t>
  </si>
  <si>
    <t xml:space="preserve">2024   </t>
  </si>
  <si>
    <t xml:space="preserve">2023  </t>
  </si>
  <si>
    <t xml:space="preserve">2022  </t>
  </si>
  <si>
    <t xml:space="preserve">2021   </t>
  </si>
  <si>
    <t xml:space="preserve">2020   </t>
  </si>
  <si>
    <t xml:space="preserve">2019  </t>
  </si>
  <si>
    <t>2018</t>
  </si>
  <si>
    <t>2017</t>
  </si>
  <si>
    <t>2016</t>
  </si>
  <si>
    <t>2015</t>
  </si>
  <si>
    <t>2014</t>
  </si>
  <si>
    <t>2013</t>
  </si>
  <si>
    <t>2012</t>
  </si>
  <si>
    <t>2011</t>
  </si>
  <si>
    <t xml:space="preserve">2010   </t>
  </si>
  <si>
    <t>2009</t>
  </si>
  <si>
    <t>2008</t>
  </si>
  <si>
    <t>2007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</si>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</sst>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9"/>
      <color rgb="FF333333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b/>
      <sz val="10"/>
      <color theme="4"/>
      <name val="Arial"/>
      <family val="2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0" fillId="0" borderId="0" xfId="0"/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5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left" vertical="center"/>
    </xf>
    <xf numFmtId="4" fontId="4" fillId="3" borderId="0" xfId="0" applyNumberFormat="1" applyFont="1" applyFill="1" applyAlignment="1">
      <alignment horizontal="right" vertical="center"/>
    </xf>
    <xf numFmtId="4" fontId="4" fillId="3" borderId="2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2" fillId="2" borderId="4" xfId="0" applyFont="1" applyFill="1" applyBorder="1" applyAlignment="1">
      <alignment horizontal="right" vertical="center" wrapText="1"/>
    </xf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2" fontId="0" fillId="0" borderId="0" xfId="0" applyNumberFormat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164" fontId="2" fillId="2" borderId="12" xfId="0" applyNumberFormat="1" applyFont="1" applyFill="1" applyBorder="1" applyAlignment="1">
      <alignment horizontal="right" vertical="center" wrapText="1"/>
    </xf>
    <xf numFmtId="164" fontId="2" fillId="2" borderId="13" xfId="0" applyNumberFormat="1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5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fill>
        <patternFill patternType="solid">
          <fgColor rgb="FFFFFFFF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scheme val="none"/>
      </font>
      <numFmt numFmtId="30" formatCode="@"/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2:K21" totalsRowShown="0" headerRowDxfId="54" dataDxfId="53" tableBorderDxfId="52">
  <autoFilter ref="A2:K21"/>
  <tableColumns count="11">
    <tableColumn id="1" name="Year" dataDxfId="51"/>
    <tableColumn id="2" name="Real GDP" dataDxfId="50"/>
    <tableColumn id="3" name="Nominal GDP" dataDxfId="49"/>
    <tableColumn id="4" name="Social Sector_x000a_ Expenditure" dataDxfId="48"/>
    <tableColumn id="5" name="1. Revenue _x000a_Expenditure" dataDxfId="47"/>
    <tableColumn id="6" name="(a) Education, Sports, _x000a_Art and Culture" dataDxfId="46"/>
    <tableColumn id="7" name="(b) Medical and _x000a_Public Health" dataDxfId="45"/>
    <tableColumn id="8" name="(c) Urban _x000a_Development" dataDxfId="44"/>
    <tableColumn id="9" name="(d) Rural _x000a_Development" dataDxfId="43"/>
    <tableColumn id="10" name="(e) Social Security _x000a_and Welfare" dataDxfId="42"/>
    <tableColumn id="11" name="2. Capital _x000a_Expenditure" dataDxfId="4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2:D21" totalsRowShown="0">
  <autoFilter ref="A2:D21"/>
  <tableColumns count="4">
    <tableColumn id="1" name="Year" dataDxfId="40"/>
    <tableColumn id="2" name="Social Sector_x000a_ Expenditure" dataDxfId="39"/>
    <tableColumn id="3" name="(a) Education, Sports, _x000a_Art and Culture" dataDxfId="38"/>
    <tableColumn id="4" name="% of expenditure on Education">
      <calculatedColumnFormula>C3/B3*100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2:D21" totalsRowShown="0">
  <autoFilter ref="A2:D21"/>
  <tableColumns count="4">
    <tableColumn id="1" name="Year" dataDxfId="37"/>
    <tableColumn id="2" name="Social Sector_x000a_ Expenditure" dataDxfId="36"/>
    <tableColumn id="3" name="(b) Medical and _x000a_Public Health" dataDxfId="35"/>
    <tableColumn id="4" name="% of expenditure on Health" dataDxfId="34">
      <calculatedColumnFormula>C3/B3*100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2:E21" totalsRowShown="0">
  <autoFilter ref="A2:E21"/>
  <tableColumns count="5">
    <tableColumn id="1" name="Year" dataDxfId="33"/>
    <tableColumn id="2" name="Social Sector_x000a_ Expenditure" dataDxfId="32"/>
    <tableColumn id="3" name="(e) Social Security _x000a_and Welfare" dataDxfId="31"/>
    <tableColumn id="4" name="% of expenditure in Welfare">
      <calculatedColumnFormula xml:space="preserve"> C3/B3*100</calculatedColumnFormula>
    </tableColumn>
    <tableColumn id="5" name="CAGR" dataDxfId="30">
      <calculatedColumnFormula>((Table8[[#This Row],[Social Sector
 Expenditure]]/B13)^(1/10))-1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1:S33" totalsRowShown="0" headerRowDxfId="0" dataDxfId="4" headerRowBorderDxfId="2" tableBorderDxfId="3" totalsRowBorderDxfId="1">
  <autoFilter ref="A1:S33"/>
  <tableColumns count="19">
    <tableColumn id="1" name="State/UT" dataDxfId="23"/>
    <tableColumn id="2" name="2007-08" dataDxfId="22"/>
    <tableColumn id="3" name="2008-09" dataDxfId="21"/>
    <tableColumn id="4" name="2009-10" dataDxfId="20"/>
    <tableColumn id="5" name="2010-11" dataDxfId="19"/>
    <tableColumn id="6" name="2011-12" dataDxfId="18"/>
    <tableColumn id="7" name="2012-13" dataDxfId="17"/>
    <tableColumn id="8" name="2013-14" dataDxfId="16"/>
    <tableColumn id="9" name="2014-15" dataDxfId="15"/>
    <tableColumn id="10" name="2015-16" dataDxfId="14"/>
    <tableColumn id="11" name="2016-17" dataDxfId="13"/>
    <tableColumn id="12" name="2017-18" dataDxfId="12"/>
    <tableColumn id="13" name="2018-19" dataDxfId="11"/>
    <tableColumn id="14" name="2019-20" dataDxfId="10"/>
    <tableColumn id="15" name="2020-21" dataDxfId="9"/>
    <tableColumn id="16" name="2021-22" dataDxfId="8"/>
    <tableColumn id="17" name="2022-23" dataDxfId="7"/>
    <tableColumn id="18" name="2023-24" dataDxfId="6"/>
    <tableColumn id="19" name="2024-25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B3:E5" totalsRowShown="0">
  <autoFilter ref="B3:E5"/>
  <tableColumns count="4">
    <tableColumn id="1" name="Year"/>
    <tableColumn id="2" name="Population"/>
    <tableColumn id="3" name="Social Expenditure" dataDxfId="29"/>
    <tableColumn id="4" name="Per capita expenditure">
      <calculatedColumnFormula>D4/C4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B4:E5" totalsRowShown="0">
  <autoFilter ref="B4:E5"/>
  <tableColumns count="4">
    <tableColumn id="1" name="Year"/>
    <tableColumn id="2" name="Population"/>
    <tableColumn id="3" name="Capital Ex of SE" dataDxfId="28"/>
    <tableColumn id="4" name="Per Capita Capital Outlay">
      <calculatedColumnFormula>D5/C5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B3:D22" totalsRowShown="0">
  <autoFilter ref="B3:D22"/>
  <tableColumns count="3">
    <tableColumn id="1" name="Year"/>
    <tableColumn id="2" name="Social Expenditure"/>
    <tableColumn id="3" name="Growth in Social_x000a_ Expenditure (%)" dataDxfId="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5" name="Table5" displayName="Table5" ref="B3:E22" totalsRowShown="0">
  <autoFilter ref="B3:E22"/>
  <tableColumns count="4">
    <tableColumn id="1" name="Year" dataDxfId="26"/>
    <tableColumn id="2" name="Total Expenditure" dataDxfId="25"/>
    <tableColumn id="3" name="Social Sector_x000a_ Expenditure" dataDxfId="24"/>
    <tableColumn id="4" name="Share of Social Services in Total Expenditure (%)">
      <calculatedColumnFormula>(D4/C4)*100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B22" sqref="B22"/>
    </sheetView>
  </sheetViews>
  <sheetFormatPr defaultColWidth="14.88671875" defaultRowHeight="14.4" x14ac:dyDescent="0.3"/>
  <cols>
    <col min="1" max="1" width="8" bestFit="1" customWidth="1"/>
    <col min="2" max="2" width="13.77734375" bestFit="1" customWidth="1"/>
    <col min="3" max="3" width="17" bestFit="1" customWidth="1"/>
    <col min="4" max="4" width="13.88671875" bestFit="1" customWidth="1"/>
    <col min="5" max="5" width="13.77734375" bestFit="1" customWidth="1"/>
    <col min="6" max="6" width="22.6640625" bestFit="1" customWidth="1"/>
    <col min="7" max="7" width="16.5546875" bestFit="1" customWidth="1"/>
    <col min="8" max="9" width="14.5546875" bestFit="1" customWidth="1"/>
    <col min="10" max="10" width="19.21875" bestFit="1" customWidth="1"/>
    <col min="11" max="11" width="13.77734375" bestFit="1" customWidth="1"/>
  </cols>
  <sheetData>
    <row r="1" spans="1:11" x14ac:dyDescent="0.3">
      <c r="I1" s="14"/>
    </row>
    <row r="2" spans="1:11" ht="28.8" x14ac:dyDescent="0.3">
      <c r="A2" s="2" t="s">
        <v>19</v>
      </c>
      <c r="B2" s="28" t="s">
        <v>21</v>
      </c>
      <c r="C2" s="28" t="s">
        <v>20</v>
      </c>
      <c r="D2" s="1" t="s">
        <v>22</v>
      </c>
      <c r="E2" s="5" t="s">
        <v>23</v>
      </c>
      <c r="F2" s="8" t="s">
        <v>24</v>
      </c>
      <c r="G2" s="11" t="s">
        <v>25</v>
      </c>
      <c r="H2" s="15" t="s">
        <v>26</v>
      </c>
      <c r="I2" s="18" t="s">
        <v>27</v>
      </c>
      <c r="J2" s="21" t="s">
        <v>28</v>
      </c>
      <c r="K2" s="3" t="s">
        <v>29</v>
      </c>
    </row>
    <row r="3" spans="1:11" x14ac:dyDescent="0.3">
      <c r="A3" s="29" t="s">
        <v>95</v>
      </c>
      <c r="B3" s="30">
        <v>6.4947655238393702</v>
      </c>
      <c r="C3" s="31">
        <v>9.77722598460727</v>
      </c>
      <c r="D3" s="25">
        <v>2628986.7000000002</v>
      </c>
      <c r="E3" s="7">
        <v>2220710.5</v>
      </c>
      <c r="F3" s="10">
        <v>803010</v>
      </c>
      <c r="G3" s="12">
        <v>259734.5</v>
      </c>
      <c r="H3" s="17">
        <v>126812.4</v>
      </c>
      <c r="I3" s="20">
        <v>227460.4</v>
      </c>
      <c r="J3" s="23">
        <v>339584.6</v>
      </c>
      <c r="K3" s="27">
        <v>364988.1</v>
      </c>
    </row>
    <row r="4" spans="1:11" x14ac:dyDescent="0.3">
      <c r="A4" s="29" t="s">
        <v>96</v>
      </c>
      <c r="B4" s="30">
        <v>9.1907549302843599</v>
      </c>
      <c r="C4" s="31">
        <v>12.020924206027599</v>
      </c>
      <c r="D4" s="25">
        <v>2366910.1</v>
      </c>
      <c r="E4" s="7">
        <v>1996099.2</v>
      </c>
      <c r="F4" s="10">
        <v>716042.1</v>
      </c>
      <c r="G4" s="12">
        <v>233520.6</v>
      </c>
      <c r="H4" s="17">
        <v>129083.7</v>
      </c>
      <c r="I4" s="20">
        <v>206037.5</v>
      </c>
      <c r="J4" s="23">
        <v>267540.09999999998</v>
      </c>
      <c r="K4" s="27">
        <v>339615.7</v>
      </c>
    </row>
    <row r="5" spans="1:11" x14ac:dyDescent="0.3">
      <c r="A5" s="29" t="s">
        <v>97</v>
      </c>
      <c r="B5" s="30">
        <v>7.6093649777040904</v>
      </c>
      <c r="C5" s="31">
        <v>13.9552418839056</v>
      </c>
      <c r="D5" s="25">
        <v>1922651.8</v>
      </c>
      <c r="E5" s="7">
        <v>1670374.8</v>
      </c>
      <c r="F5" s="10">
        <v>646223.9</v>
      </c>
      <c r="G5" s="12">
        <v>190333.9</v>
      </c>
      <c r="H5" s="17">
        <v>104532.1</v>
      </c>
      <c r="I5" s="20">
        <v>164695.29999999999</v>
      </c>
      <c r="J5" s="23">
        <v>206092.79999999999</v>
      </c>
      <c r="K5" s="27">
        <v>224024.1</v>
      </c>
    </row>
    <row r="6" spans="1:11" x14ac:dyDescent="0.3">
      <c r="A6" s="29" t="s">
        <v>98</v>
      </c>
      <c r="B6" s="30">
        <v>9.6895924919120997</v>
      </c>
      <c r="C6" s="31">
        <v>18.854056717407101</v>
      </c>
      <c r="D6" s="25">
        <v>1716370.7</v>
      </c>
      <c r="E6" s="7">
        <v>1501451.3</v>
      </c>
      <c r="F6" s="10">
        <v>569751.4</v>
      </c>
      <c r="G6" s="12">
        <v>192604.3</v>
      </c>
      <c r="H6" s="17">
        <v>89317.7</v>
      </c>
      <c r="I6" s="20">
        <v>151182.70000000001</v>
      </c>
      <c r="J6" s="23">
        <v>168974.8</v>
      </c>
      <c r="K6" s="27">
        <v>193870.5</v>
      </c>
    </row>
    <row r="7" spans="1:11" x14ac:dyDescent="0.3">
      <c r="A7" s="29" t="s">
        <v>99</v>
      </c>
      <c r="B7" s="30">
        <v>-5.7777261622849903</v>
      </c>
      <c r="C7" s="31">
        <v>-1.24105672803364</v>
      </c>
      <c r="D7" s="25">
        <v>1512087</v>
      </c>
      <c r="E7" s="7">
        <v>1351173.2</v>
      </c>
      <c r="F7" s="10">
        <v>512428.9</v>
      </c>
      <c r="G7" s="12">
        <v>156355.79999999999</v>
      </c>
      <c r="H7" s="17">
        <v>84671.4</v>
      </c>
      <c r="I7" s="20">
        <v>160168.1</v>
      </c>
      <c r="J7" s="23">
        <v>142090.1</v>
      </c>
      <c r="K7" s="27">
        <v>140073.20000000001</v>
      </c>
    </row>
    <row r="8" spans="1:11" x14ac:dyDescent="0.3">
      <c r="A8" s="29" t="s">
        <v>100</v>
      </c>
      <c r="B8" s="30">
        <v>3.87143807215566</v>
      </c>
      <c r="C8" s="31">
        <v>6.3700854427707396</v>
      </c>
      <c r="D8" s="25">
        <v>1410326.9</v>
      </c>
      <c r="E8" s="7">
        <v>1267449.2</v>
      </c>
      <c r="F8" s="10">
        <v>516390.7</v>
      </c>
      <c r="G8" s="12">
        <v>136605.1</v>
      </c>
      <c r="H8" s="17">
        <v>72141.7</v>
      </c>
      <c r="I8" s="20">
        <v>143731.6</v>
      </c>
      <c r="J8" s="23">
        <v>128971.8</v>
      </c>
      <c r="K8" s="27">
        <v>127080.9</v>
      </c>
    </row>
    <row r="9" spans="1:11" x14ac:dyDescent="0.3">
      <c r="A9" s="29" t="s">
        <v>101</v>
      </c>
      <c r="B9" s="30">
        <v>6.4538530019440703</v>
      </c>
      <c r="C9" s="31">
        <v>10.588774445375901</v>
      </c>
      <c r="D9" s="25">
        <v>1342723.6</v>
      </c>
      <c r="E9" s="7">
        <v>1186239.2</v>
      </c>
      <c r="F9" s="10">
        <v>467961.5</v>
      </c>
      <c r="G9" s="12">
        <v>125575.9</v>
      </c>
      <c r="H9" s="17">
        <v>67444.399999999994</v>
      </c>
      <c r="I9" s="20">
        <v>137508.1</v>
      </c>
      <c r="J9" s="23">
        <v>134868.20000000001</v>
      </c>
      <c r="K9" s="27">
        <v>135237.1</v>
      </c>
    </row>
    <row r="10" spans="1:11" x14ac:dyDescent="0.3">
      <c r="A10" s="29" t="s">
        <v>102</v>
      </c>
      <c r="B10" s="30">
        <v>6.7953841802773196</v>
      </c>
      <c r="C10" s="31">
        <v>11.0343654089755</v>
      </c>
      <c r="D10" s="25">
        <v>1200934.1000000001</v>
      </c>
      <c r="E10" s="7">
        <v>1058642.8</v>
      </c>
      <c r="F10" s="10">
        <v>424798</v>
      </c>
      <c r="G10" s="12">
        <v>112193.60000000001</v>
      </c>
      <c r="H10" s="17">
        <v>62677.2</v>
      </c>
      <c r="I10" s="20">
        <v>132244.5</v>
      </c>
      <c r="J10" s="23">
        <v>103858.5</v>
      </c>
      <c r="K10" s="27">
        <v>125126.8</v>
      </c>
    </row>
    <row r="11" spans="1:11" x14ac:dyDescent="0.3">
      <c r="A11" s="29" t="s">
        <v>103</v>
      </c>
      <c r="B11" s="30">
        <v>8.2563035380364997</v>
      </c>
      <c r="C11" s="31">
        <v>11.761617448667399</v>
      </c>
      <c r="D11" s="25">
        <v>1128188.3</v>
      </c>
      <c r="E11" s="7">
        <v>973062.7</v>
      </c>
      <c r="F11" s="10">
        <v>386926</v>
      </c>
      <c r="G11" s="12">
        <v>93457.5</v>
      </c>
      <c r="H11" s="17">
        <v>61207.5</v>
      </c>
      <c r="I11" s="20">
        <v>126248.3</v>
      </c>
      <c r="J11" s="23">
        <v>98085.9</v>
      </c>
      <c r="K11" s="27">
        <v>113884.1</v>
      </c>
    </row>
    <row r="12" spans="1:11" x14ac:dyDescent="0.3">
      <c r="A12" s="29" t="s">
        <v>104</v>
      </c>
      <c r="B12" s="30">
        <v>7.9962537856642104</v>
      </c>
      <c r="C12" s="31">
        <v>10.4581235445612</v>
      </c>
      <c r="D12" s="24">
        <v>968936.4</v>
      </c>
      <c r="E12" s="6">
        <v>861451.9</v>
      </c>
      <c r="F12" s="9">
        <v>349494.1</v>
      </c>
      <c r="G12" s="13">
        <v>81008.899999999994</v>
      </c>
      <c r="H12" s="16">
        <v>43003.199999999997</v>
      </c>
      <c r="I12" s="19">
        <v>107971</v>
      </c>
      <c r="J12" s="22">
        <v>90270.8</v>
      </c>
      <c r="K12" s="27">
        <v>98665.9</v>
      </c>
    </row>
    <row r="13" spans="1:11" x14ac:dyDescent="0.3">
      <c r="A13" s="29" t="s">
        <v>105</v>
      </c>
      <c r="B13" s="30">
        <v>7.4102270125049996</v>
      </c>
      <c r="C13" s="31">
        <v>10.988875293007</v>
      </c>
      <c r="D13" s="24">
        <v>830060</v>
      </c>
      <c r="E13" s="6">
        <v>740020.3</v>
      </c>
      <c r="F13" s="9">
        <v>315425.7</v>
      </c>
      <c r="G13" s="13">
        <v>70595.399999999994</v>
      </c>
      <c r="H13" s="16">
        <v>34408.300000000003</v>
      </c>
      <c r="I13" s="19">
        <v>95222.5</v>
      </c>
      <c r="J13" s="22">
        <v>72280.899999999994</v>
      </c>
      <c r="K13" s="27">
        <v>83860</v>
      </c>
    </row>
    <row r="14" spans="1:11" x14ac:dyDescent="0.3">
      <c r="A14" s="29" t="s">
        <v>106</v>
      </c>
      <c r="B14" s="30">
        <v>6.3861082157192399</v>
      </c>
      <c r="C14" s="31">
        <v>12.9676871297309</v>
      </c>
      <c r="D14" s="24">
        <v>679201.1</v>
      </c>
      <c r="E14" s="6">
        <v>610293.80000000005</v>
      </c>
      <c r="F14" s="9">
        <v>273534.90000000002</v>
      </c>
      <c r="G14" s="13">
        <v>56389.1</v>
      </c>
      <c r="H14" s="16">
        <v>31530.6</v>
      </c>
      <c r="I14" s="19">
        <v>48773.5</v>
      </c>
      <c r="J14" s="22">
        <v>65543.5</v>
      </c>
      <c r="K14" s="27">
        <v>60923.6</v>
      </c>
    </row>
    <row r="15" spans="1:11" x14ac:dyDescent="0.3">
      <c r="A15" s="29" t="s">
        <v>107</v>
      </c>
      <c r="B15" s="30">
        <v>5.4563875358701397</v>
      </c>
      <c r="C15" s="31">
        <v>13.823705960237399</v>
      </c>
      <c r="D15" s="24">
        <v>602942.69999999995</v>
      </c>
      <c r="E15" s="6">
        <v>536676.1</v>
      </c>
      <c r="F15" s="9">
        <v>245401.5</v>
      </c>
      <c r="G15" s="13">
        <v>50641</v>
      </c>
      <c r="H15" s="16">
        <v>28344.5</v>
      </c>
      <c r="I15" s="19">
        <v>44370.400000000001</v>
      </c>
      <c r="J15" s="22">
        <v>55563.199999999997</v>
      </c>
      <c r="K15" s="27">
        <v>56458.1</v>
      </c>
    </row>
    <row r="16" spans="1:11" x14ac:dyDescent="0.3">
      <c r="A16" s="29" t="s">
        <v>108</v>
      </c>
      <c r="B16" s="30">
        <v>5.2413150014554404</v>
      </c>
      <c r="C16" s="31">
        <v>14.432649591771799</v>
      </c>
      <c r="D16" s="24">
        <v>523569.3</v>
      </c>
      <c r="E16" s="6">
        <v>467852</v>
      </c>
      <c r="F16" s="9">
        <v>216066.6</v>
      </c>
      <c r="G16" s="13">
        <v>43945.2</v>
      </c>
      <c r="H16" s="16">
        <v>22839.8</v>
      </c>
      <c r="I16" s="19">
        <v>37222.400000000001</v>
      </c>
      <c r="J16" s="22">
        <v>48506.9</v>
      </c>
      <c r="K16" s="27">
        <v>45901.7</v>
      </c>
    </row>
    <row r="17" spans="1:11" x14ac:dyDescent="0.3">
      <c r="A17" s="29" t="s">
        <v>109</v>
      </c>
      <c r="B17" s="30">
        <v>8.4975847015963595</v>
      </c>
      <c r="C17" s="31">
        <v>19.918073945529201</v>
      </c>
      <c r="D17" s="24">
        <v>451936.5</v>
      </c>
      <c r="E17" s="6">
        <v>402920</v>
      </c>
      <c r="F17" s="9">
        <v>187617.3</v>
      </c>
      <c r="G17" s="13">
        <v>38128.199999999997</v>
      </c>
      <c r="H17" s="16">
        <v>21653.5</v>
      </c>
      <c r="I17" s="19">
        <v>32594.3</v>
      </c>
      <c r="J17" s="22">
        <v>38729.9</v>
      </c>
      <c r="K17" s="27">
        <v>40748.5</v>
      </c>
    </row>
    <row r="18" spans="1:11" x14ac:dyDescent="0.3">
      <c r="A18" s="29" t="s">
        <v>110</v>
      </c>
      <c r="B18" s="30">
        <v>7.8618888330828103</v>
      </c>
      <c r="C18" s="31">
        <v>15.4557599718246</v>
      </c>
      <c r="D18" s="24">
        <v>399737.2</v>
      </c>
      <c r="E18" s="6">
        <v>348872.1</v>
      </c>
      <c r="F18" s="9">
        <v>151670.29999999999</v>
      </c>
      <c r="G18" s="13">
        <v>32611.5</v>
      </c>
      <c r="H18" s="16">
        <v>22744.400000000001</v>
      </c>
      <c r="I18" s="19">
        <v>35630.699999999997</v>
      </c>
      <c r="J18" s="22">
        <v>32848.9</v>
      </c>
      <c r="K18" s="27">
        <v>43059.8</v>
      </c>
    </row>
    <row r="19" spans="1:11" x14ac:dyDescent="0.3">
      <c r="A19" s="29" t="s">
        <v>111</v>
      </c>
      <c r="B19" s="30">
        <v>3.0866980595351401</v>
      </c>
      <c r="C19" s="31">
        <v>12.564457767999899</v>
      </c>
      <c r="D19" s="24">
        <v>331538.2</v>
      </c>
      <c r="E19" s="6">
        <v>285130.09999999998</v>
      </c>
      <c r="F19" s="9">
        <v>121276.3</v>
      </c>
      <c r="G19" s="13">
        <v>26160.799999999999</v>
      </c>
      <c r="H19" s="16">
        <v>21771.7</v>
      </c>
      <c r="I19" s="19">
        <v>26550.3</v>
      </c>
      <c r="J19" s="22">
        <v>25233.7</v>
      </c>
      <c r="K19" s="27">
        <v>38485.300000000003</v>
      </c>
    </row>
    <row r="20" spans="1:11" x14ac:dyDescent="0.3">
      <c r="A20" s="29" t="s">
        <v>112</v>
      </c>
      <c r="B20" s="30">
        <v>7.6608150650215698</v>
      </c>
      <c r="C20" s="31">
        <v>15.1372323585018</v>
      </c>
      <c r="D20" s="24">
        <v>265466.40000000002</v>
      </c>
      <c r="E20" s="6">
        <v>228122.4</v>
      </c>
      <c r="F20" s="9">
        <v>100775.3</v>
      </c>
      <c r="G20" s="13">
        <v>21894.799999999999</v>
      </c>
      <c r="H20" s="16">
        <v>14219.1</v>
      </c>
      <c r="I20" s="19">
        <v>22203.3</v>
      </c>
      <c r="J20" s="22">
        <v>17611.8</v>
      </c>
      <c r="K20" s="27">
        <v>29818.9</v>
      </c>
    </row>
    <row r="21" spans="1:11" x14ac:dyDescent="0.3">
      <c r="A21" s="29" t="s">
        <v>113</v>
      </c>
      <c r="B21" s="30">
        <v>8.0607325730550805</v>
      </c>
      <c r="C21" s="31">
        <v>17.138847953302399</v>
      </c>
      <c r="D21" s="24">
        <v>222988.2</v>
      </c>
      <c r="E21" s="6">
        <v>195626.4</v>
      </c>
      <c r="F21" s="9">
        <v>89578.3</v>
      </c>
      <c r="G21" s="13">
        <v>19161.8</v>
      </c>
      <c r="H21" s="16">
        <v>9470.5</v>
      </c>
      <c r="I21" s="19">
        <v>19315.3</v>
      </c>
      <c r="J21" s="22">
        <v>12917.2</v>
      </c>
      <c r="K21" s="27">
        <v>22615.3</v>
      </c>
    </row>
    <row r="77" spans="6:6" x14ac:dyDescent="0.3">
      <c r="F77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7"/>
  <sheetViews>
    <sheetView workbookViewId="0">
      <selection sqref="A1:B1048576"/>
    </sheetView>
  </sheetViews>
  <sheetFormatPr defaultRowHeight="14.4" x14ac:dyDescent="0.3"/>
  <cols>
    <col min="1" max="1" width="8" style="35" bestFit="1" customWidth="1"/>
    <col min="2" max="2" width="13.88671875" style="35" bestFit="1" customWidth="1"/>
    <col min="3" max="3" width="22.6640625" style="35" bestFit="1" customWidth="1"/>
    <col min="4" max="4" width="28.6640625" customWidth="1"/>
  </cols>
  <sheetData>
    <row r="2" spans="1:4" ht="28.8" x14ac:dyDescent="0.3">
      <c r="A2" s="2" t="s">
        <v>19</v>
      </c>
      <c r="B2" s="1" t="s">
        <v>22</v>
      </c>
      <c r="C2" s="39" t="s">
        <v>24</v>
      </c>
      <c r="D2" s="2" t="s">
        <v>91</v>
      </c>
    </row>
    <row r="3" spans="1:4" x14ac:dyDescent="0.3">
      <c r="A3" s="29" t="s">
        <v>0</v>
      </c>
      <c r="B3" s="26">
        <v>2628986.7000000002</v>
      </c>
      <c r="C3" s="26">
        <v>803010</v>
      </c>
      <c r="D3">
        <f>C3/B3*100</f>
        <v>30.544467950332344</v>
      </c>
    </row>
    <row r="4" spans="1:4" x14ac:dyDescent="0.3">
      <c r="A4" s="29" t="s">
        <v>1</v>
      </c>
      <c r="B4" s="26">
        <v>2366910.1</v>
      </c>
      <c r="C4" s="26">
        <v>716042.1</v>
      </c>
      <c r="D4" s="35">
        <f t="shared" ref="D4:D21" si="0">C4/B4*100</f>
        <v>30.252188285478184</v>
      </c>
    </row>
    <row r="5" spans="1:4" x14ac:dyDescent="0.3">
      <c r="A5" s="29" t="s">
        <v>2</v>
      </c>
      <c r="B5" s="26">
        <v>1922651.8</v>
      </c>
      <c r="C5" s="26">
        <v>646223.9</v>
      </c>
      <c r="D5" s="35">
        <f t="shared" si="0"/>
        <v>33.611072998241283</v>
      </c>
    </row>
    <row r="6" spans="1:4" x14ac:dyDescent="0.3">
      <c r="A6" s="29" t="s">
        <v>3</v>
      </c>
      <c r="B6" s="26">
        <v>1716370.7</v>
      </c>
      <c r="C6" s="26">
        <v>569751.4</v>
      </c>
      <c r="D6" s="35">
        <f t="shared" si="0"/>
        <v>33.195125039130538</v>
      </c>
    </row>
    <row r="7" spans="1:4" x14ac:dyDescent="0.3">
      <c r="A7" s="29" t="s">
        <v>4</v>
      </c>
      <c r="B7" s="26">
        <v>1512087</v>
      </c>
      <c r="C7" s="26">
        <v>512428.9</v>
      </c>
      <c r="D7" s="35">
        <f t="shared" si="0"/>
        <v>33.888850310861748</v>
      </c>
    </row>
    <row r="8" spans="1:4" x14ac:dyDescent="0.3">
      <c r="A8" s="29" t="s">
        <v>5</v>
      </c>
      <c r="B8" s="26">
        <v>1410326.9</v>
      </c>
      <c r="C8" s="26">
        <v>516390.7</v>
      </c>
      <c r="D8" s="35">
        <f t="shared" si="0"/>
        <v>36.614964941815977</v>
      </c>
    </row>
    <row r="9" spans="1:4" x14ac:dyDescent="0.3">
      <c r="A9" s="29" t="s">
        <v>6</v>
      </c>
      <c r="B9" s="26">
        <v>1342723.6</v>
      </c>
      <c r="C9" s="26">
        <v>467961.5</v>
      </c>
      <c r="D9" s="35">
        <f t="shared" si="0"/>
        <v>34.851662695136959</v>
      </c>
    </row>
    <row r="10" spans="1:4" x14ac:dyDescent="0.3">
      <c r="A10" s="29" t="s">
        <v>7</v>
      </c>
      <c r="B10" s="26">
        <v>1200934.1000000001</v>
      </c>
      <c r="C10" s="26">
        <v>424798</v>
      </c>
      <c r="D10" s="35">
        <f t="shared" si="0"/>
        <v>35.372298946295217</v>
      </c>
    </row>
    <row r="11" spans="1:4" x14ac:dyDescent="0.3">
      <c r="A11" s="29" t="s">
        <v>8</v>
      </c>
      <c r="B11" s="26">
        <v>1128188.3</v>
      </c>
      <c r="C11" s="26">
        <v>386926</v>
      </c>
      <c r="D11" s="35">
        <f t="shared" si="0"/>
        <v>34.296225195740817</v>
      </c>
    </row>
    <row r="12" spans="1:4" x14ac:dyDescent="0.3">
      <c r="A12" s="29" t="s">
        <v>9</v>
      </c>
      <c r="B12" s="26">
        <v>968936.4</v>
      </c>
      <c r="C12" s="26">
        <v>349494.1</v>
      </c>
      <c r="D12" s="35">
        <f t="shared" si="0"/>
        <v>36.069870014172238</v>
      </c>
    </row>
    <row r="13" spans="1:4" x14ac:dyDescent="0.3">
      <c r="A13" s="29" t="s">
        <v>10</v>
      </c>
      <c r="B13" s="26">
        <v>830060</v>
      </c>
      <c r="C13" s="26">
        <v>315425.7</v>
      </c>
      <c r="D13" s="35">
        <f t="shared" si="0"/>
        <v>38.000349372334533</v>
      </c>
    </row>
    <row r="14" spans="1:4" x14ac:dyDescent="0.3">
      <c r="A14" s="29" t="s">
        <v>11</v>
      </c>
      <c r="B14" s="26">
        <v>679201.1</v>
      </c>
      <c r="C14" s="26">
        <v>273534.90000000002</v>
      </c>
      <c r="D14" s="35">
        <f t="shared" si="0"/>
        <v>40.273035482421925</v>
      </c>
    </row>
    <row r="15" spans="1:4" x14ac:dyDescent="0.3">
      <c r="A15" s="29" t="s">
        <v>12</v>
      </c>
      <c r="B15" s="26">
        <v>602942.69999999995</v>
      </c>
      <c r="C15" s="26">
        <v>245401.5</v>
      </c>
      <c r="D15" s="35">
        <f t="shared" si="0"/>
        <v>40.700633741813277</v>
      </c>
    </row>
    <row r="16" spans="1:4" x14ac:dyDescent="0.3">
      <c r="A16" s="29" t="s">
        <v>13</v>
      </c>
      <c r="B16" s="26">
        <v>523569.3</v>
      </c>
      <c r="C16" s="26">
        <v>216066.6</v>
      </c>
      <c r="D16" s="35">
        <f t="shared" si="0"/>
        <v>41.268004063645449</v>
      </c>
    </row>
    <row r="17" spans="1:4" x14ac:dyDescent="0.3">
      <c r="A17" s="29" t="s">
        <v>14</v>
      </c>
      <c r="B17" s="26">
        <v>451936.5</v>
      </c>
      <c r="C17" s="26">
        <v>187617.3</v>
      </c>
      <c r="D17" s="35">
        <f t="shared" si="0"/>
        <v>41.514084390174283</v>
      </c>
    </row>
    <row r="18" spans="1:4" x14ac:dyDescent="0.3">
      <c r="A18" s="29" t="s">
        <v>15</v>
      </c>
      <c r="B18" s="26">
        <v>399737.2</v>
      </c>
      <c r="C18" s="26">
        <v>151670.29999999999</v>
      </c>
      <c r="D18" s="35">
        <f t="shared" si="0"/>
        <v>37.942503224618569</v>
      </c>
    </row>
    <row r="19" spans="1:4" x14ac:dyDescent="0.3">
      <c r="A19" s="29" t="s">
        <v>16</v>
      </c>
      <c r="B19" s="26">
        <v>331538.2</v>
      </c>
      <c r="C19" s="26">
        <v>121276.3</v>
      </c>
      <c r="D19" s="35">
        <f t="shared" si="0"/>
        <v>36.579887325201135</v>
      </c>
    </row>
    <row r="20" spans="1:4" x14ac:dyDescent="0.3">
      <c r="A20" s="29" t="s">
        <v>17</v>
      </c>
      <c r="B20" s="26">
        <v>265466.40000000002</v>
      </c>
      <c r="C20" s="26">
        <v>100775.3</v>
      </c>
      <c r="D20" s="35">
        <f t="shared" si="0"/>
        <v>37.961602673634026</v>
      </c>
    </row>
    <row r="21" spans="1:4" x14ac:dyDescent="0.3">
      <c r="A21" s="29" t="s">
        <v>18</v>
      </c>
      <c r="B21" s="26">
        <v>222988.2</v>
      </c>
      <c r="C21" s="26">
        <v>89578.3</v>
      </c>
      <c r="D21" s="35">
        <f t="shared" si="0"/>
        <v>40.171766936546419</v>
      </c>
    </row>
    <row r="77" spans="3:3" x14ac:dyDescent="0.3">
      <c r="C77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workbookViewId="0">
      <selection activeCell="F11" sqref="F11"/>
    </sheetView>
  </sheetViews>
  <sheetFormatPr defaultRowHeight="14.4" x14ac:dyDescent="0.3"/>
  <cols>
    <col min="1" max="1" width="8" style="35" bestFit="1" customWidth="1"/>
    <col min="2" max="2" width="13.88671875" style="35" bestFit="1" customWidth="1"/>
    <col min="3" max="3" width="16.5546875" style="35" bestFit="1" customWidth="1"/>
    <col min="4" max="4" width="25.6640625" style="32" customWidth="1"/>
  </cols>
  <sheetData>
    <row r="2" spans="1:4" ht="28.8" x14ac:dyDescent="0.3">
      <c r="A2" s="2" t="s">
        <v>19</v>
      </c>
      <c r="B2" s="1" t="s">
        <v>22</v>
      </c>
      <c r="C2" s="39" t="s">
        <v>25</v>
      </c>
      <c r="D2" s="40" t="s">
        <v>92</v>
      </c>
    </row>
    <row r="3" spans="1:4" x14ac:dyDescent="0.3">
      <c r="A3" s="29" t="s">
        <v>0</v>
      </c>
      <c r="B3" s="26">
        <v>2628986.7000000002</v>
      </c>
      <c r="C3" s="26">
        <v>259734.5</v>
      </c>
      <c r="D3" s="32">
        <f>C3/B3*100</f>
        <v>9.8796429818378293</v>
      </c>
    </row>
    <row r="4" spans="1:4" x14ac:dyDescent="0.3">
      <c r="A4" s="29" t="s">
        <v>1</v>
      </c>
      <c r="B4" s="26">
        <v>2366910.1</v>
      </c>
      <c r="C4" s="26">
        <v>233520.6</v>
      </c>
      <c r="D4" s="32">
        <f t="shared" ref="D4:D21" si="0">C4/B4*100</f>
        <v>9.8660527917811489</v>
      </c>
    </row>
    <row r="5" spans="1:4" x14ac:dyDescent="0.3">
      <c r="A5" s="29" t="s">
        <v>2</v>
      </c>
      <c r="B5" s="26">
        <v>1922651.8</v>
      </c>
      <c r="C5" s="26">
        <v>190333.9</v>
      </c>
      <c r="D5" s="32">
        <f t="shared" si="0"/>
        <v>9.8995512343940799</v>
      </c>
    </row>
    <row r="6" spans="1:4" x14ac:dyDescent="0.3">
      <c r="A6" s="29" t="s">
        <v>3</v>
      </c>
      <c r="B6" s="26">
        <v>1716370.7</v>
      </c>
      <c r="C6" s="26">
        <v>192604.3</v>
      </c>
      <c r="D6" s="32">
        <f t="shared" si="0"/>
        <v>11.221602652620438</v>
      </c>
    </row>
    <row r="7" spans="1:4" x14ac:dyDescent="0.3">
      <c r="A7" s="29" t="s">
        <v>4</v>
      </c>
      <c r="B7" s="26">
        <v>1512087</v>
      </c>
      <c r="C7" s="26">
        <v>156355.79999999999</v>
      </c>
      <c r="D7" s="32">
        <f t="shared" si="0"/>
        <v>10.340397080326728</v>
      </c>
    </row>
    <row r="8" spans="1:4" x14ac:dyDescent="0.3">
      <c r="A8" s="29" t="s">
        <v>5</v>
      </c>
      <c r="B8" s="26">
        <v>1410326.9</v>
      </c>
      <c r="C8" s="26">
        <v>136605.1</v>
      </c>
      <c r="D8" s="32">
        <f t="shared" si="0"/>
        <v>9.6860593100791039</v>
      </c>
    </row>
    <row r="9" spans="1:4" x14ac:dyDescent="0.3">
      <c r="A9" s="29" t="s">
        <v>6</v>
      </c>
      <c r="B9" s="26">
        <v>1342723.6</v>
      </c>
      <c r="C9" s="26">
        <v>125575.9</v>
      </c>
      <c r="D9" s="32">
        <f t="shared" si="0"/>
        <v>9.3523268675697651</v>
      </c>
    </row>
    <row r="10" spans="1:4" x14ac:dyDescent="0.3">
      <c r="A10" s="29" t="s">
        <v>7</v>
      </c>
      <c r="B10" s="26">
        <v>1200934.1000000001</v>
      </c>
      <c r="C10" s="26">
        <v>112193.60000000001</v>
      </c>
      <c r="D10" s="32">
        <f t="shared" si="0"/>
        <v>9.3421945467282512</v>
      </c>
    </row>
    <row r="11" spans="1:4" x14ac:dyDescent="0.3">
      <c r="A11" s="29" t="s">
        <v>8</v>
      </c>
      <c r="B11" s="26">
        <v>1128188.3</v>
      </c>
      <c r="C11" s="26">
        <v>93457.5</v>
      </c>
      <c r="D11" s="32">
        <f t="shared" si="0"/>
        <v>8.2838565157961668</v>
      </c>
    </row>
    <row r="12" spans="1:4" x14ac:dyDescent="0.3">
      <c r="A12" s="29" t="s">
        <v>9</v>
      </c>
      <c r="B12" s="26">
        <v>968936.4</v>
      </c>
      <c r="C12" s="26">
        <v>81008.899999999994</v>
      </c>
      <c r="D12" s="32">
        <f t="shared" si="0"/>
        <v>8.3606003448729957</v>
      </c>
    </row>
    <row r="13" spans="1:4" x14ac:dyDescent="0.3">
      <c r="A13" s="29" t="s">
        <v>10</v>
      </c>
      <c r="B13" s="26">
        <v>830060</v>
      </c>
      <c r="C13" s="26">
        <v>70595.399999999994</v>
      </c>
      <c r="D13" s="32">
        <f t="shared" si="0"/>
        <v>8.5048550707177792</v>
      </c>
    </row>
    <row r="14" spans="1:4" x14ac:dyDescent="0.3">
      <c r="A14" s="29" t="s">
        <v>11</v>
      </c>
      <c r="B14" s="26">
        <v>679201.1</v>
      </c>
      <c r="C14" s="26">
        <v>56389.1</v>
      </c>
      <c r="D14" s="32">
        <f t="shared" si="0"/>
        <v>8.3022686506249777</v>
      </c>
    </row>
    <row r="15" spans="1:4" x14ac:dyDescent="0.3">
      <c r="A15" s="29" t="s">
        <v>12</v>
      </c>
      <c r="B15" s="26">
        <v>602942.69999999995</v>
      </c>
      <c r="C15" s="26">
        <v>50641</v>
      </c>
      <c r="D15" s="32">
        <f t="shared" si="0"/>
        <v>8.3989738991781486</v>
      </c>
    </row>
    <row r="16" spans="1:4" x14ac:dyDescent="0.3">
      <c r="A16" s="29" t="s">
        <v>13</v>
      </c>
      <c r="B16" s="26">
        <v>523569.3</v>
      </c>
      <c r="C16" s="26">
        <v>43945.2</v>
      </c>
      <c r="D16" s="32">
        <f t="shared" si="0"/>
        <v>8.3933874656134346</v>
      </c>
    </row>
    <row r="17" spans="1:4" x14ac:dyDescent="0.3">
      <c r="A17" s="29" t="s">
        <v>14</v>
      </c>
      <c r="B17" s="26">
        <v>451936.5</v>
      </c>
      <c r="C17" s="26">
        <v>38128.199999999997</v>
      </c>
      <c r="D17" s="32">
        <f t="shared" si="0"/>
        <v>8.4366277120790194</v>
      </c>
    </row>
    <row r="18" spans="1:4" x14ac:dyDescent="0.3">
      <c r="A18" s="29" t="s">
        <v>15</v>
      </c>
      <c r="B18" s="26">
        <v>399737.2</v>
      </c>
      <c r="C18" s="26">
        <v>32611.5</v>
      </c>
      <c r="D18" s="32">
        <f t="shared" si="0"/>
        <v>8.1582349603689632</v>
      </c>
    </row>
    <row r="19" spans="1:4" x14ac:dyDescent="0.3">
      <c r="A19" s="29" t="s">
        <v>16</v>
      </c>
      <c r="B19" s="26">
        <v>331538.2</v>
      </c>
      <c r="C19" s="26">
        <v>26160.799999999999</v>
      </c>
      <c r="D19" s="32">
        <f t="shared" si="0"/>
        <v>7.8907347629926194</v>
      </c>
    </row>
    <row r="20" spans="1:4" x14ac:dyDescent="0.3">
      <c r="A20" s="29" t="s">
        <v>17</v>
      </c>
      <c r="B20" s="26">
        <v>265466.40000000002</v>
      </c>
      <c r="C20" s="26">
        <v>21894.799999999999</v>
      </c>
      <c r="D20" s="32">
        <f t="shared" si="0"/>
        <v>8.2476727751609982</v>
      </c>
    </row>
    <row r="21" spans="1:4" x14ac:dyDescent="0.3">
      <c r="A21" s="29" t="s">
        <v>18</v>
      </c>
      <c r="B21" s="26">
        <v>222988.2</v>
      </c>
      <c r="C21" s="26">
        <v>19161.8</v>
      </c>
      <c r="D21" s="32">
        <f t="shared" si="0"/>
        <v>8.5931901329308005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topLeftCell="A2" workbookViewId="0">
      <selection activeCell="H4" sqref="H4"/>
    </sheetView>
  </sheetViews>
  <sheetFormatPr defaultRowHeight="14.4" x14ac:dyDescent="0.3"/>
  <cols>
    <col min="1" max="1" width="8" style="35" bestFit="1" customWidth="1"/>
    <col min="2" max="2" width="13.88671875" style="35" bestFit="1" customWidth="1"/>
    <col min="3" max="3" width="19.21875" style="35" bestFit="1" customWidth="1"/>
    <col min="4" max="4" width="26.109375" customWidth="1"/>
  </cols>
  <sheetData>
    <row r="2" spans="1:5" ht="28.8" x14ac:dyDescent="0.3">
      <c r="A2" s="2" t="s">
        <v>19</v>
      </c>
      <c r="B2" s="1" t="s">
        <v>22</v>
      </c>
      <c r="C2" s="39" t="s">
        <v>28</v>
      </c>
      <c r="D2" s="2" t="s">
        <v>93</v>
      </c>
      <c r="E2" t="s">
        <v>94</v>
      </c>
    </row>
    <row r="3" spans="1:5" x14ac:dyDescent="0.3">
      <c r="A3" s="29" t="s">
        <v>0</v>
      </c>
      <c r="B3" s="26">
        <v>2628986.7000000002</v>
      </c>
      <c r="C3" s="26">
        <v>339584.6</v>
      </c>
      <c r="D3">
        <f xml:space="preserve"> C3/B3*100</f>
        <v>12.916938682116571</v>
      </c>
      <c r="E3">
        <f>((Table8[[#This Row],[Social Sector
 Expenditure]]/B13)^(1/10))-1</f>
        <v>0.12219386551915568</v>
      </c>
    </row>
    <row r="4" spans="1:5" x14ac:dyDescent="0.3">
      <c r="A4" s="29" t="s">
        <v>1</v>
      </c>
      <c r="B4" s="26">
        <v>2366910.1</v>
      </c>
      <c r="C4" s="26">
        <v>267540.09999999998</v>
      </c>
      <c r="D4" s="35">
        <f t="shared" ref="D4:D21" si="0" xml:space="preserve"> C4/B4*100</f>
        <v>11.303348614719248</v>
      </c>
    </row>
    <row r="5" spans="1:5" x14ac:dyDescent="0.3">
      <c r="A5" s="29" t="s">
        <v>2</v>
      </c>
      <c r="B5" s="26">
        <v>1922651.8</v>
      </c>
      <c r="C5" s="26">
        <v>206092.79999999999</v>
      </c>
      <c r="D5" s="35">
        <f t="shared" si="0"/>
        <v>10.719195228173922</v>
      </c>
      <c r="E5" s="35"/>
    </row>
    <row r="6" spans="1:5" x14ac:dyDescent="0.3">
      <c r="A6" s="29" t="s">
        <v>3</v>
      </c>
      <c r="B6" s="26">
        <v>1716370.7</v>
      </c>
      <c r="C6" s="26">
        <v>168974.8</v>
      </c>
      <c r="D6" s="35">
        <f t="shared" si="0"/>
        <v>9.8448895684364679</v>
      </c>
      <c r="E6" s="35"/>
    </row>
    <row r="7" spans="1:5" x14ac:dyDescent="0.3">
      <c r="A7" s="29" t="s">
        <v>4</v>
      </c>
      <c r="B7" s="26">
        <v>1512087</v>
      </c>
      <c r="C7" s="26">
        <v>142090.1</v>
      </c>
      <c r="D7" s="35">
        <f t="shared" si="0"/>
        <v>9.396952688568847</v>
      </c>
      <c r="E7" s="35"/>
    </row>
    <row r="8" spans="1:5" x14ac:dyDescent="0.3">
      <c r="A8" s="29" t="s">
        <v>5</v>
      </c>
      <c r="B8" s="26">
        <v>1410326.9</v>
      </c>
      <c r="C8" s="26">
        <v>128971.8</v>
      </c>
      <c r="D8" s="35">
        <f t="shared" si="0"/>
        <v>9.1448159997515468</v>
      </c>
      <c r="E8" s="35"/>
    </row>
    <row r="9" spans="1:5" x14ac:dyDescent="0.3">
      <c r="A9" s="29" t="s">
        <v>6</v>
      </c>
      <c r="B9" s="26">
        <v>1342723.6</v>
      </c>
      <c r="C9" s="26">
        <v>134868.20000000001</v>
      </c>
      <c r="D9" s="35">
        <f t="shared" si="0"/>
        <v>10.044375476829334</v>
      </c>
      <c r="E9" s="35"/>
    </row>
    <row r="10" spans="1:5" x14ac:dyDescent="0.3">
      <c r="A10" s="29" t="s">
        <v>7</v>
      </c>
      <c r="B10" s="26">
        <v>1200934.1000000001</v>
      </c>
      <c r="C10" s="26">
        <v>103858.5</v>
      </c>
      <c r="D10" s="35">
        <f t="shared" si="0"/>
        <v>8.6481431412431355</v>
      </c>
      <c r="E10" s="35"/>
    </row>
    <row r="11" spans="1:5" x14ac:dyDescent="0.3">
      <c r="A11" s="29" t="s">
        <v>8</v>
      </c>
      <c r="B11" s="26">
        <v>1128188.3</v>
      </c>
      <c r="C11" s="26">
        <v>98085.9</v>
      </c>
      <c r="D11" s="35">
        <f t="shared" si="0"/>
        <v>8.6941071805123293</v>
      </c>
      <c r="E11" s="35"/>
    </row>
    <row r="12" spans="1:5" x14ac:dyDescent="0.3">
      <c r="A12" s="29" t="s">
        <v>9</v>
      </c>
      <c r="B12" s="26">
        <v>968936.4</v>
      </c>
      <c r="C12" s="26">
        <v>90270.8</v>
      </c>
      <c r="D12" s="35">
        <f t="shared" si="0"/>
        <v>9.3164835173908216</v>
      </c>
      <c r="E12" s="35"/>
    </row>
    <row r="13" spans="1:5" x14ac:dyDescent="0.3">
      <c r="A13" s="29" t="s">
        <v>10</v>
      </c>
      <c r="B13" s="26">
        <v>830060</v>
      </c>
      <c r="C13" s="26">
        <v>72280.899999999994</v>
      </c>
      <c r="D13" s="35">
        <f t="shared" si="0"/>
        <v>8.7079126810110115</v>
      </c>
      <c r="E13" s="35"/>
    </row>
    <row r="14" spans="1:5" x14ac:dyDescent="0.3">
      <c r="A14" s="29" t="s">
        <v>11</v>
      </c>
      <c r="B14" s="26">
        <v>679201.1</v>
      </c>
      <c r="C14" s="26">
        <v>65543.5</v>
      </c>
      <c r="D14" s="35">
        <f t="shared" si="0"/>
        <v>9.6500874336039804</v>
      </c>
      <c r="E14" s="35"/>
    </row>
    <row r="15" spans="1:5" x14ac:dyDescent="0.3">
      <c r="A15" s="29" t="s">
        <v>12</v>
      </c>
      <c r="B15" s="26">
        <v>602942.69999999995</v>
      </c>
      <c r="C15" s="26">
        <v>55563.199999999997</v>
      </c>
      <c r="D15" s="35">
        <f t="shared" si="0"/>
        <v>9.2153367144174734</v>
      </c>
      <c r="E15" s="35"/>
    </row>
    <row r="16" spans="1:5" x14ac:dyDescent="0.3">
      <c r="A16" s="29" t="s">
        <v>13</v>
      </c>
      <c r="B16" s="26">
        <v>523569.3</v>
      </c>
      <c r="C16" s="26">
        <v>48506.9</v>
      </c>
      <c r="D16" s="35">
        <f t="shared" si="0"/>
        <v>9.2646570377598536</v>
      </c>
      <c r="E16" s="35"/>
    </row>
    <row r="17" spans="1:5" x14ac:dyDescent="0.3">
      <c r="A17" s="29" t="s">
        <v>14</v>
      </c>
      <c r="B17" s="26">
        <v>451936.5</v>
      </c>
      <c r="C17" s="26">
        <v>38729.9</v>
      </c>
      <c r="D17" s="35">
        <f t="shared" si="0"/>
        <v>8.569765885251579</v>
      </c>
      <c r="E17" s="35"/>
    </row>
    <row r="18" spans="1:5" x14ac:dyDescent="0.3">
      <c r="A18" s="29" t="s">
        <v>15</v>
      </c>
      <c r="B18" s="26">
        <v>399737.2</v>
      </c>
      <c r="C18" s="26">
        <v>32848.9</v>
      </c>
      <c r="D18" s="35">
        <f t="shared" si="0"/>
        <v>8.2176239789541743</v>
      </c>
      <c r="E18" s="35"/>
    </row>
    <row r="19" spans="1:5" x14ac:dyDescent="0.3">
      <c r="A19" s="29" t="s">
        <v>16</v>
      </c>
      <c r="B19" s="26">
        <v>331538.2</v>
      </c>
      <c r="C19" s="26">
        <v>25233.7</v>
      </c>
      <c r="D19" s="35">
        <f t="shared" si="0"/>
        <v>7.6110988115396658</v>
      </c>
      <c r="E19" s="35"/>
    </row>
    <row r="20" spans="1:5" x14ac:dyDescent="0.3">
      <c r="A20" s="29" t="s">
        <v>17</v>
      </c>
      <c r="B20" s="26">
        <v>265466.40000000002</v>
      </c>
      <c r="C20" s="26">
        <v>17611.8</v>
      </c>
      <c r="D20" s="35">
        <f t="shared" si="0"/>
        <v>6.6342859209301057</v>
      </c>
      <c r="E20" s="35"/>
    </row>
    <row r="21" spans="1:5" x14ac:dyDescent="0.3">
      <c r="A21" s="29" t="s">
        <v>18</v>
      </c>
      <c r="B21" s="26">
        <v>222988.2</v>
      </c>
      <c r="C21" s="26">
        <v>12917.2</v>
      </c>
      <c r="D21" s="35">
        <f t="shared" si="0"/>
        <v>5.7927728911215928</v>
      </c>
      <c r="E21" s="3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>
      <selection activeCell="D6" sqref="D6"/>
    </sheetView>
  </sheetViews>
  <sheetFormatPr defaultColWidth="22.88671875" defaultRowHeight="14.4" x14ac:dyDescent="0.3"/>
  <cols>
    <col min="1" max="1" width="21" bestFit="1" customWidth="1"/>
    <col min="2" max="10" width="9.6640625" bestFit="1" customWidth="1"/>
    <col min="11" max="17" width="10.6640625" bestFit="1" customWidth="1"/>
    <col min="18" max="19" width="12.109375" bestFit="1" customWidth="1"/>
  </cols>
  <sheetData>
    <row r="1" spans="1:19" s="48" customFormat="1" x14ac:dyDescent="0.3">
      <c r="A1" s="45" t="s">
        <v>30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6" t="s">
        <v>45</v>
      </c>
      <c r="Q1" s="46" t="s">
        <v>46</v>
      </c>
      <c r="R1" s="46" t="s">
        <v>80</v>
      </c>
      <c r="S1" s="47" t="s">
        <v>81</v>
      </c>
    </row>
    <row r="2" spans="1:19" x14ac:dyDescent="0.3">
      <c r="A2" s="41" t="s">
        <v>47</v>
      </c>
      <c r="B2" s="26">
        <v>24470.9</v>
      </c>
      <c r="C2" s="26">
        <v>31435.9</v>
      </c>
      <c r="D2" s="26">
        <v>30278.9</v>
      </c>
      <c r="E2" s="26">
        <v>39132.400000000001</v>
      </c>
      <c r="F2" s="26">
        <v>45395.9</v>
      </c>
      <c r="G2" s="26">
        <v>49435.199999999997</v>
      </c>
      <c r="H2" s="26">
        <v>53735.8</v>
      </c>
      <c r="I2" s="26">
        <v>54917.8</v>
      </c>
      <c r="J2" s="26">
        <v>57520</v>
      </c>
      <c r="K2" s="26">
        <v>62799.9</v>
      </c>
      <c r="L2" s="26">
        <v>72855.8</v>
      </c>
      <c r="M2" s="26">
        <v>76759</v>
      </c>
      <c r="N2" s="26">
        <v>78797.3</v>
      </c>
      <c r="O2" s="26">
        <v>86831.5</v>
      </c>
      <c r="P2" s="26">
        <v>86746.1</v>
      </c>
      <c r="Q2" s="26">
        <v>102621.5</v>
      </c>
      <c r="R2" s="26">
        <v>123830.6</v>
      </c>
      <c r="S2" s="27">
        <v>146270.1</v>
      </c>
    </row>
    <row r="3" spans="1:19" x14ac:dyDescent="0.3">
      <c r="A3" s="41" t="s">
        <v>48</v>
      </c>
      <c r="B3" s="26">
        <v>953.2</v>
      </c>
      <c r="C3" s="26">
        <v>1279.5999999999999</v>
      </c>
      <c r="D3" s="26">
        <v>1766.9</v>
      </c>
      <c r="E3" s="26">
        <v>1567.5</v>
      </c>
      <c r="F3" s="26">
        <v>2158</v>
      </c>
      <c r="G3" s="26">
        <v>1938.5</v>
      </c>
      <c r="H3" s="26">
        <v>2553.6</v>
      </c>
      <c r="I3" s="26">
        <v>3055.4</v>
      </c>
      <c r="J3" s="26">
        <v>3357.6</v>
      </c>
      <c r="K3" s="26">
        <v>4148.3999999999996</v>
      </c>
      <c r="L3" s="26">
        <v>5475.9</v>
      </c>
      <c r="M3" s="26">
        <v>6372.4</v>
      </c>
      <c r="N3" s="26">
        <v>5678.3</v>
      </c>
      <c r="O3" s="26">
        <v>6174.2</v>
      </c>
      <c r="P3" s="26">
        <v>7944.5</v>
      </c>
      <c r="Q3" s="26">
        <v>8790.6</v>
      </c>
      <c r="R3" s="26">
        <v>11148.3</v>
      </c>
      <c r="S3" s="27">
        <v>11194.4</v>
      </c>
    </row>
    <row r="4" spans="1:19" x14ac:dyDescent="0.3">
      <c r="A4" s="41" t="s">
        <v>49</v>
      </c>
      <c r="B4" s="26">
        <v>6056.4</v>
      </c>
      <c r="C4" s="26">
        <v>6759.9</v>
      </c>
      <c r="D4" s="26">
        <v>9159.5</v>
      </c>
      <c r="E4" s="26">
        <v>10242.9</v>
      </c>
      <c r="F4" s="26">
        <v>11189.2</v>
      </c>
      <c r="G4" s="26">
        <v>12303.2</v>
      </c>
      <c r="H4" s="26">
        <v>14507.5</v>
      </c>
      <c r="I4" s="26">
        <v>20396.900000000001</v>
      </c>
      <c r="J4" s="26">
        <v>20218.2</v>
      </c>
      <c r="K4" s="26">
        <v>26362.6</v>
      </c>
      <c r="L4" s="26">
        <v>27844.5</v>
      </c>
      <c r="M4" s="26">
        <v>30244.9</v>
      </c>
      <c r="N4" s="26">
        <v>37050.6</v>
      </c>
      <c r="O4" s="26">
        <v>35564.6</v>
      </c>
      <c r="P4" s="26">
        <v>40743.1</v>
      </c>
      <c r="Q4" s="26">
        <v>60547.3</v>
      </c>
      <c r="R4" s="26">
        <v>70500.3</v>
      </c>
      <c r="S4" s="27">
        <v>60961.599999999999</v>
      </c>
    </row>
    <row r="5" spans="1:19" x14ac:dyDescent="0.3">
      <c r="A5" s="41" t="s">
        <v>50</v>
      </c>
      <c r="B5" s="26">
        <v>13815.1</v>
      </c>
      <c r="C5" s="26">
        <v>16336.5</v>
      </c>
      <c r="D5" s="26">
        <v>17867.5</v>
      </c>
      <c r="E5" s="26">
        <v>19369.8</v>
      </c>
      <c r="F5" s="26">
        <v>24045.599999999999</v>
      </c>
      <c r="G5" s="26">
        <v>30744.5</v>
      </c>
      <c r="H5" s="26">
        <v>34921.4</v>
      </c>
      <c r="I5" s="26">
        <v>42415.9</v>
      </c>
      <c r="J5" s="26">
        <v>52709.9</v>
      </c>
      <c r="K5" s="26">
        <v>60566.6</v>
      </c>
      <c r="L5" s="26">
        <v>68232.100000000006</v>
      </c>
      <c r="M5" s="26">
        <v>75529.5</v>
      </c>
      <c r="N5" s="26">
        <v>71948.800000000003</v>
      </c>
      <c r="O5" s="26">
        <v>86407.1</v>
      </c>
      <c r="P5" s="26">
        <v>101086.8</v>
      </c>
      <c r="Q5" s="26">
        <v>115792.3</v>
      </c>
      <c r="R5" s="26">
        <v>164915.1</v>
      </c>
      <c r="S5" s="27">
        <v>136876.20000000001</v>
      </c>
    </row>
    <row r="6" spans="1:19" x14ac:dyDescent="0.3">
      <c r="A6" s="41" t="s">
        <v>51</v>
      </c>
      <c r="B6" s="26">
        <v>6947.3</v>
      </c>
      <c r="C6" s="26">
        <v>8873.7000000000007</v>
      </c>
      <c r="D6" s="26">
        <v>11677.9</v>
      </c>
      <c r="E6" s="26">
        <v>11823.8</v>
      </c>
      <c r="F6" s="26">
        <v>14806.5</v>
      </c>
      <c r="G6" s="26">
        <v>16968.5</v>
      </c>
      <c r="H6" s="26">
        <v>21054.7</v>
      </c>
      <c r="I6" s="26">
        <v>23676.7</v>
      </c>
      <c r="J6" s="26">
        <v>27500</v>
      </c>
      <c r="K6" s="26">
        <v>31897.599999999999</v>
      </c>
      <c r="L6" s="26">
        <v>35128.199999999997</v>
      </c>
      <c r="M6" s="26">
        <v>32447.5</v>
      </c>
      <c r="N6" s="26">
        <v>39224.300000000003</v>
      </c>
      <c r="O6" s="26">
        <v>36369.9</v>
      </c>
      <c r="P6" s="26">
        <v>40167.199999999997</v>
      </c>
      <c r="Q6" s="26">
        <v>47600.9</v>
      </c>
      <c r="R6" s="26">
        <v>72815.199999999997</v>
      </c>
      <c r="S6" s="27">
        <v>79629</v>
      </c>
    </row>
    <row r="7" spans="1:19" x14ac:dyDescent="0.3">
      <c r="A7" s="41" t="s">
        <v>52</v>
      </c>
      <c r="B7" s="26">
        <v>1124.4000000000001</v>
      </c>
      <c r="C7" s="26">
        <v>1455.3</v>
      </c>
      <c r="D7" s="26">
        <v>1793.5</v>
      </c>
      <c r="E7" s="26">
        <v>2088.3000000000002</v>
      </c>
      <c r="F7" s="26">
        <v>2302.8000000000002</v>
      </c>
      <c r="G7" s="26">
        <v>2496.4</v>
      </c>
      <c r="H7" s="26">
        <v>2918.8</v>
      </c>
      <c r="I7" s="26">
        <v>3171.8</v>
      </c>
      <c r="J7" s="26">
        <v>3677.3</v>
      </c>
      <c r="K7" s="26">
        <v>3945.8</v>
      </c>
      <c r="L7" s="26">
        <v>5006.8</v>
      </c>
      <c r="M7" s="26">
        <v>5143.5</v>
      </c>
      <c r="N7" s="26">
        <v>5080</v>
      </c>
      <c r="O7" s="26">
        <v>5547.1</v>
      </c>
      <c r="P7" s="26">
        <v>6857.1</v>
      </c>
      <c r="Q7" s="26">
        <v>6581.1</v>
      </c>
      <c r="R7" s="26">
        <v>9361.7999999999993</v>
      </c>
      <c r="S7" s="27">
        <v>9041</v>
      </c>
    </row>
    <row r="8" spans="1:19" x14ac:dyDescent="0.3">
      <c r="A8" s="41" t="s">
        <v>53</v>
      </c>
      <c r="B8" s="26">
        <v>14892.7</v>
      </c>
      <c r="C8" s="26">
        <v>18175.400000000001</v>
      </c>
      <c r="D8" s="26">
        <v>23168.9</v>
      </c>
      <c r="E8" s="26">
        <v>28592.6</v>
      </c>
      <c r="F8" s="26">
        <v>30345.8</v>
      </c>
      <c r="G8" s="26">
        <v>38063.599999999999</v>
      </c>
      <c r="H8" s="26">
        <v>41878</v>
      </c>
      <c r="I8" s="26">
        <v>47258.6</v>
      </c>
      <c r="J8" s="26">
        <v>53458.5</v>
      </c>
      <c r="K8" s="26">
        <v>56036.800000000003</v>
      </c>
      <c r="L8" s="26">
        <v>60616.5</v>
      </c>
      <c r="M8" s="26">
        <v>66840.5</v>
      </c>
      <c r="N8" s="26">
        <v>71781.8</v>
      </c>
      <c r="O8" s="26">
        <v>75896.3</v>
      </c>
      <c r="P8" s="26">
        <v>82675</v>
      </c>
      <c r="Q8" s="26">
        <v>97489.4</v>
      </c>
      <c r="R8" s="26">
        <v>115776.3</v>
      </c>
      <c r="S8" s="27">
        <v>126931.4</v>
      </c>
    </row>
    <row r="9" spans="1:19" x14ac:dyDescent="0.3">
      <c r="A9" s="41" t="s">
        <v>54</v>
      </c>
      <c r="B9" s="26">
        <v>7342.7</v>
      </c>
      <c r="C9" s="26">
        <v>9813.7000000000007</v>
      </c>
      <c r="D9" s="26">
        <v>13359</v>
      </c>
      <c r="E9" s="26">
        <v>13635.9</v>
      </c>
      <c r="F9" s="26">
        <v>16270.4</v>
      </c>
      <c r="G9" s="26">
        <v>18988</v>
      </c>
      <c r="H9" s="26">
        <v>18099.8</v>
      </c>
      <c r="I9" s="26">
        <v>22041.7</v>
      </c>
      <c r="J9" s="26">
        <v>25504.7</v>
      </c>
      <c r="K9" s="26">
        <v>30505</v>
      </c>
      <c r="L9" s="26">
        <v>35434.699999999997</v>
      </c>
      <c r="M9" s="26">
        <v>38814.9</v>
      </c>
      <c r="N9" s="26">
        <v>45549.9</v>
      </c>
      <c r="O9" s="26">
        <v>42859.7</v>
      </c>
      <c r="P9" s="26">
        <v>48756.1</v>
      </c>
      <c r="Q9" s="26">
        <v>51360.7</v>
      </c>
      <c r="R9" s="26">
        <v>59771.6</v>
      </c>
      <c r="S9" s="27">
        <v>68785.8</v>
      </c>
    </row>
    <row r="10" spans="1:19" x14ac:dyDescent="0.3">
      <c r="A10" s="41" t="s">
        <v>55</v>
      </c>
      <c r="B10" s="26">
        <v>3736</v>
      </c>
      <c r="C10" s="26">
        <v>4570</v>
      </c>
      <c r="D10" s="26">
        <v>4913.5</v>
      </c>
      <c r="E10" s="26">
        <v>6022.3</v>
      </c>
      <c r="F10" s="26">
        <v>5998.5</v>
      </c>
      <c r="G10" s="26">
        <v>7098.5</v>
      </c>
      <c r="H10" s="26">
        <v>7891.3</v>
      </c>
      <c r="I10" s="26">
        <v>9071.7999999999993</v>
      </c>
      <c r="J10" s="26">
        <v>9965.6</v>
      </c>
      <c r="K10" s="26">
        <v>12024.3</v>
      </c>
      <c r="L10" s="26">
        <v>12635</v>
      </c>
      <c r="M10" s="26">
        <v>14211.9</v>
      </c>
      <c r="N10" s="26">
        <v>14847.3</v>
      </c>
      <c r="O10" s="26">
        <v>16259.8</v>
      </c>
      <c r="P10" s="26">
        <v>17484.599999999999</v>
      </c>
      <c r="Q10" s="26">
        <v>21793.7</v>
      </c>
      <c r="R10" s="26">
        <v>22802.2</v>
      </c>
      <c r="S10" s="27">
        <v>22039.3</v>
      </c>
    </row>
    <row r="11" spans="1:19" x14ac:dyDescent="0.3">
      <c r="A11" s="41" t="s">
        <v>56</v>
      </c>
      <c r="B11" s="26">
        <v>7983.9</v>
      </c>
      <c r="C11" s="26">
        <v>9870.2999999999993</v>
      </c>
      <c r="D11" s="26">
        <v>10036.4</v>
      </c>
      <c r="E11" s="26">
        <v>12303.5</v>
      </c>
      <c r="F11" s="26">
        <v>10720.8</v>
      </c>
      <c r="G11" s="26">
        <v>12025.3</v>
      </c>
      <c r="H11" s="26">
        <v>11711.4</v>
      </c>
      <c r="I11" s="26">
        <v>17735.5</v>
      </c>
      <c r="J11" s="26">
        <v>21898</v>
      </c>
      <c r="K11" s="26">
        <v>29553.5</v>
      </c>
      <c r="L11" s="26">
        <v>29352.3</v>
      </c>
      <c r="M11" s="26">
        <v>30219.5</v>
      </c>
      <c r="N11" s="26">
        <v>32816</v>
      </c>
      <c r="O11" s="26">
        <v>34403</v>
      </c>
      <c r="P11" s="26">
        <v>33885.599999999999</v>
      </c>
      <c r="Q11" s="26">
        <v>41401.699999999997</v>
      </c>
      <c r="R11" s="26">
        <v>54656.9</v>
      </c>
      <c r="S11" s="27">
        <v>63970.2</v>
      </c>
    </row>
    <row r="12" spans="1:19" x14ac:dyDescent="0.3">
      <c r="A12" s="41" t="s">
        <v>57</v>
      </c>
      <c r="B12" s="26">
        <v>17644.5</v>
      </c>
      <c r="C12" s="26">
        <v>20444.900000000001</v>
      </c>
      <c r="D12" s="26">
        <v>25104.400000000001</v>
      </c>
      <c r="E12" s="26">
        <v>28685.3</v>
      </c>
      <c r="F12" s="26">
        <v>32373.200000000001</v>
      </c>
      <c r="G12" s="26">
        <v>37829.300000000003</v>
      </c>
      <c r="H12" s="26">
        <v>41587.699999999997</v>
      </c>
      <c r="I12" s="26">
        <v>51509.2</v>
      </c>
      <c r="J12" s="26">
        <v>59432.9</v>
      </c>
      <c r="K12" s="26">
        <v>70665.5</v>
      </c>
      <c r="L12" s="26">
        <v>76436.5</v>
      </c>
      <c r="M12" s="26">
        <v>90874.8</v>
      </c>
      <c r="N12" s="26">
        <v>87833.8</v>
      </c>
      <c r="O12" s="26">
        <v>87157.5</v>
      </c>
      <c r="P12" s="26">
        <v>110959</v>
      </c>
      <c r="Q12" s="26">
        <v>110016.6</v>
      </c>
      <c r="R12" s="26">
        <v>125920.7</v>
      </c>
      <c r="S12" s="27">
        <v>154971.29999999999</v>
      </c>
    </row>
    <row r="13" spans="1:19" x14ac:dyDescent="0.3">
      <c r="A13" s="41" t="s">
        <v>58</v>
      </c>
      <c r="B13" s="26">
        <v>9010.2999999999993</v>
      </c>
      <c r="C13" s="26">
        <v>10859</v>
      </c>
      <c r="D13" s="26">
        <v>12033.6</v>
      </c>
      <c r="E13" s="26">
        <v>13622.8</v>
      </c>
      <c r="F13" s="26">
        <v>18739.7</v>
      </c>
      <c r="G13" s="26">
        <v>21645.7</v>
      </c>
      <c r="H13" s="26">
        <v>23952.6</v>
      </c>
      <c r="I13" s="26">
        <v>28513.8</v>
      </c>
      <c r="J13" s="26">
        <v>33088.400000000001</v>
      </c>
      <c r="K13" s="26">
        <v>39058.199999999997</v>
      </c>
      <c r="L13" s="26">
        <v>40844.300000000003</v>
      </c>
      <c r="M13" s="26">
        <v>43870.5</v>
      </c>
      <c r="N13" s="26">
        <v>38542.800000000003</v>
      </c>
      <c r="O13" s="26">
        <v>57258.5</v>
      </c>
      <c r="P13" s="26">
        <v>60602.3</v>
      </c>
      <c r="Q13" s="26">
        <v>58258.7</v>
      </c>
      <c r="R13" s="26">
        <v>53353.3</v>
      </c>
      <c r="S13" s="27">
        <v>64950.400000000001</v>
      </c>
    </row>
    <row r="14" spans="1:19" x14ac:dyDescent="0.3">
      <c r="A14" s="41" t="s">
        <v>59</v>
      </c>
      <c r="B14" s="26">
        <v>12600.2</v>
      </c>
      <c r="C14" s="26">
        <v>14687</v>
      </c>
      <c r="D14" s="26">
        <v>17631.2</v>
      </c>
      <c r="E14" s="26">
        <v>23449.8</v>
      </c>
      <c r="F14" s="26">
        <v>27130.9</v>
      </c>
      <c r="G14" s="26">
        <v>33367.9</v>
      </c>
      <c r="H14" s="26">
        <v>35740.800000000003</v>
      </c>
      <c r="I14" s="26">
        <v>44383.5</v>
      </c>
      <c r="J14" s="26">
        <v>55551.9</v>
      </c>
      <c r="K14" s="26">
        <v>65249.2</v>
      </c>
      <c r="L14" s="26">
        <v>74635.8</v>
      </c>
      <c r="M14" s="26">
        <v>76630.100000000006</v>
      </c>
      <c r="N14" s="26">
        <v>85161.8</v>
      </c>
      <c r="O14" s="26">
        <v>94626.8</v>
      </c>
      <c r="P14" s="26">
        <v>104546.7</v>
      </c>
      <c r="Q14" s="26">
        <v>110119.2</v>
      </c>
      <c r="R14" s="26">
        <v>134064.5</v>
      </c>
      <c r="S14" s="27">
        <v>160339.79999999999</v>
      </c>
    </row>
    <row r="15" spans="1:19" x14ac:dyDescent="0.3">
      <c r="A15" s="41" t="s">
        <v>60</v>
      </c>
      <c r="B15" s="26">
        <v>29721.3</v>
      </c>
      <c r="C15" s="26">
        <v>36499.699999999997</v>
      </c>
      <c r="D15" s="26">
        <v>47358.3</v>
      </c>
      <c r="E15" s="26">
        <v>53834.400000000001</v>
      </c>
      <c r="F15" s="26">
        <v>61133.5</v>
      </c>
      <c r="G15" s="26">
        <v>70028.399999999994</v>
      </c>
      <c r="H15" s="26">
        <v>78197.3</v>
      </c>
      <c r="I15" s="26">
        <v>88320.7</v>
      </c>
      <c r="J15" s="26">
        <v>93315.6</v>
      </c>
      <c r="K15" s="26">
        <v>104677</v>
      </c>
      <c r="L15" s="26">
        <v>106624</v>
      </c>
      <c r="M15" s="26">
        <v>126835.1</v>
      </c>
      <c r="N15" s="26">
        <v>144035.4</v>
      </c>
      <c r="O15" s="26">
        <v>143019.20000000001</v>
      </c>
      <c r="P15" s="26">
        <v>164205.5</v>
      </c>
      <c r="Q15" s="26">
        <v>200140.5</v>
      </c>
      <c r="R15" s="26">
        <v>280892.5</v>
      </c>
      <c r="S15" s="27">
        <v>262177.5</v>
      </c>
    </row>
    <row r="16" spans="1:19" x14ac:dyDescent="0.3">
      <c r="A16" s="41" t="s">
        <v>61</v>
      </c>
      <c r="B16" s="26">
        <v>1178.5</v>
      </c>
      <c r="C16" s="26">
        <v>1448.1</v>
      </c>
      <c r="D16" s="26">
        <v>1535.2</v>
      </c>
      <c r="E16" s="26">
        <v>1933.5</v>
      </c>
      <c r="F16" s="26">
        <v>2017.7</v>
      </c>
      <c r="G16" s="26">
        <v>2051.1</v>
      </c>
      <c r="H16" s="26">
        <v>2107</v>
      </c>
      <c r="I16" s="26">
        <v>3128.5</v>
      </c>
      <c r="J16" s="26">
        <v>3071.9</v>
      </c>
      <c r="K16" s="26">
        <v>3301.8</v>
      </c>
      <c r="L16" s="26">
        <v>4298.2</v>
      </c>
      <c r="M16" s="26">
        <v>4468.2</v>
      </c>
      <c r="N16" s="26">
        <v>4634.3999999999996</v>
      </c>
      <c r="O16" s="26">
        <v>6622.6</v>
      </c>
      <c r="P16" s="26">
        <v>7084.6</v>
      </c>
      <c r="Q16" s="26">
        <v>7895.9</v>
      </c>
      <c r="R16" s="26">
        <v>12578.6</v>
      </c>
      <c r="S16" s="27">
        <v>14213.1</v>
      </c>
    </row>
    <row r="17" spans="1:19" x14ac:dyDescent="0.3">
      <c r="A17" s="41" t="s">
        <v>62</v>
      </c>
      <c r="B17" s="26">
        <v>1038.5999999999999</v>
      </c>
      <c r="C17" s="26">
        <v>1225</v>
      </c>
      <c r="D17" s="26">
        <v>1402.4</v>
      </c>
      <c r="E17" s="26">
        <v>1751.8</v>
      </c>
      <c r="F17" s="26">
        <v>2341.8000000000002</v>
      </c>
      <c r="G17" s="26">
        <v>2308.8000000000002</v>
      </c>
      <c r="H17" s="26">
        <v>2715.5</v>
      </c>
      <c r="I17" s="26">
        <v>3301.9</v>
      </c>
      <c r="J17" s="26">
        <v>3236.7</v>
      </c>
      <c r="K17" s="26">
        <v>4895.3</v>
      </c>
      <c r="L17" s="26">
        <v>4575.3</v>
      </c>
      <c r="M17" s="26">
        <v>5242.1000000000004</v>
      </c>
      <c r="N17" s="26">
        <v>4897.5</v>
      </c>
      <c r="O17" s="26">
        <v>5897.8</v>
      </c>
      <c r="P17" s="26">
        <v>7327.3</v>
      </c>
      <c r="Q17" s="26">
        <v>7671.4</v>
      </c>
      <c r="R17" s="26">
        <v>11485.4</v>
      </c>
      <c r="S17" s="27">
        <v>11398.2</v>
      </c>
    </row>
    <row r="18" spans="1:19" x14ac:dyDescent="0.3">
      <c r="A18" s="41" t="s">
        <v>63</v>
      </c>
      <c r="B18" s="26">
        <v>939.9</v>
      </c>
      <c r="C18" s="26">
        <v>1150.8</v>
      </c>
      <c r="D18" s="26">
        <v>1465.3</v>
      </c>
      <c r="E18" s="26">
        <v>1596.2</v>
      </c>
      <c r="F18" s="26">
        <v>1640.5</v>
      </c>
      <c r="G18" s="26">
        <v>2118.4</v>
      </c>
      <c r="H18" s="26">
        <v>2298.3000000000002</v>
      </c>
      <c r="I18" s="26">
        <v>2901.8</v>
      </c>
      <c r="J18" s="26">
        <v>2891</v>
      </c>
      <c r="K18" s="26">
        <v>3077.4</v>
      </c>
      <c r="L18" s="26">
        <v>3814.1</v>
      </c>
      <c r="M18" s="26">
        <v>4063.5</v>
      </c>
      <c r="N18" s="26">
        <v>4493.3999999999996</v>
      </c>
      <c r="O18" s="26">
        <v>4143.5</v>
      </c>
      <c r="P18" s="26">
        <v>4233.5</v>
      </c>
      <c r="Q18" s="26">
        <v>4414.3999999999996</v>
      </c>
      <c r="R18" s="26">
        <v>6434.6</v>
      </c>
      <c r="S18" s="27">
        <v>5542</v>
      </c>
    </row>
    <row r="19" spans="1:19" x14ac:dyDescent="0.3">
      <c r="A19" s="41" t="s">
        <v>64</v>
      </c>
      <c r="B19" s="26">
        <v>1052.5999999999999</v>
      </c>
      <c r="C19" s="26">
        <v>1118.7</v>
      </c>
      <c r="D19" s="26">
        <v>1168.7</v>
      </c>
      <c r="E19" s="26">
        <v>1578.9</v>
      </c>
      <c r="F19" s="26">
        <v>1606.3</v>
      </c>
      <c r="G19" s="26">
        <v>1969</v>
      </c>
      <c r="H19" s="26">
        <v>2150.1</v>
      </c>
      <c r="I19" s="26">
        <v>2503.9</v>
      </c>
      <c r="J19" s="26">
        <v>2725.2</v>
      </c>
      <c r="K19" s="26">
        <v>3582.6</v>
      </c>
      <c r="L19" s="26">
        <v>4479.7</v>
      </c>
      <c r="M19" s="26">
        <v>4172.1000000000004</v>
      </c>
      <c r="N19" s="26">
        <v>4405.1000000000004</v>
      </c>
      <c r="O19" s="26">
        <v>4467.6000000000004</v>
      </c>
      <c r="P19" s="26">
        <v>5010</v>
      </c>
      <c r="Q19" s="26">
        <v>5505.6</v>
      </c>
      <c r="R19" s="26">
        <v>7041.2</v>
      </c>
      <c r="S19" s="27">
        <v>7051.7</v>
      </c>
    </row>
    <row r="20" spans="1:19" x14ac:dyDescent="0.3">
      <c r="A20" s="41" t="s">
        <v>65</v>
      </c>
      <c r="B20" s="26">
        <v>8195.9</v>
      </c>
      <c r="C20" s="26">
        <v>11090.8</v>
      </c>
      <c r="D20" s="26">
        <v>12517</v>
      </c>
      <c r="E20" s="26">
        <v>15241.4</v>
      </c>
      <c r="F20" s="26">
        <v>18051.5</v>
      </c>
      <c r="G20" s="26">
        <v>19659.2</v>
      </c>
      <c r="H20" s="26">
        <v>24810.2</v>
      </c>
      <c r="I20" s="26">
        <v>29249</v>
      </c>
      <c r="J20" s="26">
        <v>36253.1</v>
      </c>
      <c r="K20" s="26">
        <v>39639.4</v>
      </c>
      <c r="L20" s="26">
        <v>45162.3</v>
      </c>
      <c r="M20" s="26">
        <v>54093.7</v>
      </c>
      <c r="N20" s="26">
        <v>61035.9</v>
      </c>
      <c r="O20" s="26">
        <v>58173.599999999999</v>
      </c>
      <c r="P20" s="26">
        <v>66786.3</v>
      </c>
      <c r="Q20" s="26">
        <v>73647.600000000006</v>
      </c>
      <c r="R20" s="26">
        <v>104520.6</v>
      </c>
      <c r="S20" s="27">
        <v>128930.9</v>
      </c>
    </row>
    <row r="21" spans="1:19" x14ac:dyDescent="0.3">
      <c r="A21" s="41" t="s">
        <v>66</v>
      </c>
      <c r="B21" s="26">
        <v>4991.1000000000004</v>
      </c>
      <c r="C21" s="26">
        <v>6862.3</v>
      </c>
      <c r="D21" s="26">
        <v>7112</v>
      </c>
      <c r="E21" s="26">
        <v>8345.6</v>
      </c>
      <c r="F21" s="26">
        <v>9974</v>
      </c>
      <c r="G21" s="26">
        <v>12563.4</v>
      </c>
      <c r="H21" s="26">
        <v>13083.8</v>
      </c>
      <c r="I21" s="26">
        <v>15506.5</v>
      </c>
      <c r="J21" s="26">
        <v>16284.1</v>
      </c>
      <c r="K21" s="26">
        <v>48268.7</v>
      </c>
      <c r="L21" s="26">
        <v>17390.400000000001</v>
      </c>
      <c r="M21" s="26">
        <v>21073.1</v>
      </c>
      <c r="N21" s="26">
        <v>21655.3</v>
      </c>
      <c r="O21" s="26">
        <v>25378.2</v>
      </c>
      <c r="P21" s="26">
        <v>30215.599999999999</v>
      </c>
      <c r="Q21" s="26">
        <v>34946.1</v>
      </c>
      <c r="R21" s="26">
        <v>37882</v>
      </c>
      <c r="S21" s="27">
        <v>40774.5</v>
      </c>
    </row>
    <row r="22" spans="1:19" x14ac:dyDescent="0.3">
      <c r="A22" s="41" t="s">
        <v>67</v>
      </c>
      <c r="B22" s="26">
        <v>14683.1</v>
      </c>
      <c r="C22" s="26">
        <v>19427.3</v>
      </c>
      <c r="D22" s="26">
        <v>21575.1</v>
      </c>
      <c r="E22" s="26">
        <v>22787.8</v>
      </c>
      <c r="F22" s="26">
        <v>27845.200000000001</v>
      </c>
      <c r="G22" s="26">
        <v>33697.699999999997</v>
      </c>
      <c r="H22" s="26">
        <v>41898.6</v>
      </c>
      <c r="I22" s="26">
        <v>54816.5</v>
      </c>
      <c r="J22" s="26">
        <v>62257.9</v>
      </c>
      <c r="K22" s="26">
        <v>67521.899999999994</v>
      </c>
      <c r="L22" s="26">
        <v>76232.800000000003</v>
      </c>
      <c r="M22" s="26">
        <v>84467.8</v>
      </c>
      <c r="N22" s="26">
        <v>87068.4</v>
      </c>
      <c r="O22" s="26">
        <v>93917.5</v>
      </c>
      <c r="P22" s="26">
        <v>113623.3</v>
      </c>
      <c r="Q22" s="26">
        <v>115988.7</v>
      </c>
      <c r="R22" s="26">
        <v>149423.9</v>
      </c>
      <c r="S22" s="27">
        <v>171950.6</v>
      </c>
    </row>
    <row r="23" spans="1:19" x14ac:dyDescent="0.3">
      <c r="A23" s="41" t="s">
        <v>68</v>
      </c>
      <c r="B23" s="26">
        <v>663.1</v>
      </c>
      <c r="C23" s="26">
        <v>816.5</v>
      </c>
      <c r="D23" s="26">
        <v>1010.1</v>
      </c>
      <c r="E23" s="26">
        <v>1063</v>
      </c>
      <c r="F23" s="26">
        <v>1449.8</v>
      </c>
      <c r="G23" s="26">
        <v>1390.9</v>
      </c>
      <c r="H23" s="26">
        <v>1691</v>
      </c>
      <c r="I23" s="26">
        <v>1772.5</v>
      </c>
      <c r="J23" s="26">
        <v>1603.6</v>
      </c>
      <c r="K23" s="26">
        <v>1838.2</v>
      </c>
      <c r="L23" s="26">
        <v>2274.1999999999998</v>
      </c>
      <c r="M23" s="26">
        <v>2600.9</v>
      </c>
      <c r="N23" s="26">
        <v>2720.4</v>
      </c>
      <c r="O23" s="26">
        <v>3167.6</v>
      </c>
      <c r="P23" s="26">
        <v>3117.4</v>
      </c>
      <c r="Q23" s="26">
        <v>4168.5</v>
      </c>
      <c r="R23" s="26">
        <v>4998.6000000000004</v>
      </c>
      <c r="S23" s="27">
        <v>5292.7</v>
      </c>
    </row>
    <row r="24" spans="1:19" x14ac:dyDescent="0.3">
      <c r="A24" s="41" t="s">
        <v>69</v>
      </c>
      <c r="B24" s="26">
        <v>19994</v>
      </c>
      <c r="C24" s="26">
        <v>26889.7</v>
      </c>
      <c r="D24" s="26">
        <v>29345.3</v>
      </c>
      <c r="E24" s="26">
        <v>36493.199999999997</v>
      </c>
      <c r="F24" s="26">
        <v>41896.6</v>
      </c>
      <c r="G24" s="26">
        <v>46753.2</v>
      </c>
      <c r="H24" s="26">
        <v>55117.9</v>
      </c>
      <c r="I24" s="26">
        <v>62757.9</v>
      </c>
      <c r="J24" s="26">
        <v>70057.8</v>
      </c>
      <c r="K24" s="26">
        <v>69689.3</v>
      </c>
      <c r="L24" s="26">
        <v>71792.600000000006</v>
      </c>
      <c r="M24" s="26">
        <v>86228.6</v>
      </c>
      <c r="N24" s="26">
        <v>86392</v>
      </c>
      <c r="O24" s="26">
        <v>107549.6</v>
      </c>
      <c r="P24" s="26">
        <v>114967.8</v>
      </c>
      <c r="Q24" s="26">
        <v>118871</v>
      </c>
      <c r="R24" s="26">
        <v>137647.70000000001</v>
      </c>
      <c r="S24" s="27">
        <v>159575.5</v>
      </c>
    </row>
    <row r="25" spans="1:19" x14ac:dyDescent="0.3">
      <c r="A25" s="41" t="s">
        <v>70</v>
      </c>
      <c r="B25" s="26" t="s">
        <v>71</v>
      </c>
      <c r="C25" s="26" t="s">
        <v>71</v>
      </c>
      <c r="D25" s="26" t="s">
        <v>71</v>
      </c>
      <c r="E25" s="26" t="s">
        <v>71</v>
      </c>
      <c r="F25" s="26" t="s">
        <v>71</v>
      </c>
      <c r="G25" s="26" t="s">
        <v>71</v>
      </c>
      <c r="H25" s="26" t="s">
        <v>71</v>
      </c>
      <c r="I25" s="26">
        <v>24433.7</v>
      </c>
      <c r="J25" s="26">
        <v>42509.5</v>
      </c>
      <c r="K25" s="26">
        <v>47949</v>
      </c>
      <c r="L25" s="26">
        <v>50203.8</v>
      </c>
      <c r="M25" s="26">
        <v>56886.5</v>
      </c>
      <c r="N25" s="26">
        <v>57909.5</v>
      </c>
      <c r="O25" s="26">
        <v>63444.9</v>
      </c>
      <c r="P25" s="26">
        <v>71533.2</v>
      </c>
      <c r="Q25" s="26">
        <v>74516.800000000003</v>
      </c>
      <c r="R25" s="26">
        <v>77549.899999999994</v>
      </c>
      <c r="S25" s="27">
        <v>118787.6</v>
      </c>
    </row>
    <row r="26" spans="1:19" x14ac:dyDescent="0.3">
      <c r="A26" s="41" t="s">
        <v>72</v>
      </c>
      <c r="B26" s="26">
        <v>1399</v>
      </c>
      <c r="C26" s="26">
        <v>1679.9</v>
      </c>
      <c r="D26" s="26">
        <v>2182.6</v>
      </c>
      <c r="E26" s="26">
        <v>2157.4</v>
      </c>
      <c r="F26" s="26">
        <v>2686.6</v>
      </c>
      <c r="G26" s="26">
        <v>2873.1</v>
      </c>
      <c r="H26" s="26">
        <v>3254.3</v>
      </c>
      <c r="I26" s="26">
        <v>5076.8999999999996</v>
      </c>
      <c r="J26" s="26">
        <v>5690.2</v>
      </c>
      <c r="K26" s="26">
        <v>5951.1</v>
      </c>
      <c r="L26" s="26">
        <v>5867.6</v>
      </c>
      <c r="M26" s="26">
        <v>6373.6</v>
      </c>
      <c r="N26" s="26">
        <v>6687.4</v>
      </c>
      <c r="O26" s="26">
        <v>7117.3</v>
      </c>
      <c r="P26" s="26">
        <v>8143.9</v>
      </c>
      <c r="Q26" s="26">
        <v>9471.7999999999993</v>
      </c>
      <c r="R26" s="26">
        <v>12739.2</v>
      </c>
      <c r="S26" s="27">
        <v>12383.1</v>
      </c>
    </row>
    <row r="27" spans="1:19" x14ac:dyDescent="0.3">
      <c r="A27" s="41" t="s">
        <v>73</v>
      </c>
      <c r="B27" s="26">
        <v>30006.1</v>
      </c>
      <c r="C27" s="26">
        <v>39506.800000000003</v>
      </c>
      <c r="D27" s="26">
        <v>47249.599999999999</v>
      </c>
      <c r="E27" s="26">
        <v>50673.8</v>
      </c>
      <c r="F27" s="26">
        <v>59716.1</v>
      </c>
      <c r="G27" s="26">
        <v>67435.8</v>
      </c>
      <c r="H27" s="26">
        <v>76555</v>
      </c>
      <c r="I27" s="26">
        <v>86321.7</v>
      </c>
      <c r="J27" s="26">
        <v>108196.3</v>
      </c>
      <c r="K27" s="26">
        <v>129756.3</v>
      </c>
      <c r="L27" s="26">
        <v>117089.2</v>
      </c>
      <c r="M27" s="26">
        <v>134473.4</v>
      </c>
      <c r="N27" s="26">
        <v>142287.70000000001</v>
      </c>
      <c r="O27" s="26">
        <v>143517</v>
      </c>
      <c r="P27" s="26">
        <v>169095.2</v>
      </c>
      <c r="Q27" s="26">
        <v>203235.4</v>
      </c>
      <c r="R27" s="26">
        <v>243672.1</v>
      </c>
      <c r="S27" s="27">
        <v>287847.2</v>
      </c>
    </row>
    <row r="28" spans="1:19" x14ac:dyDescent="0.3">
      <c r="A28" s="41" t="s">
        <v>74</v>
      </c>
      <c r="B28" s="26">
        <v>3725.8</v>
      </c>
      <c r="C28" s="26">
        <v>4185.1000000000004</v>
      </c>
      <c r="D28" s="26">
        <v>5622.1</v>
      </c>
      <c r="E28" s="26">
        <v>5953.9</v>
      </c>
      <c r="F28" s="26">
        <v>7384.9</v>
      </c>
      <c r="G28" s="26">
        <v>7968.5</v>
      </c>
      <c r="H28" s="26">
        <v>9377.4</v>
      </c>
      <c r="I28" s="26">
        <v>12994</v>
      </c>
      <c r="J28" s="26">
        <v>13402</v>
      </c>
      <c r="K28" s="26">
        <v>14509.4</v>
      </c>
      <c r="L28" s="26">
        <v>15423.1</v>
      </c>
      <c r="M28" s="26">
        <v>17508.400000000001</v>
      </c>
      <c r="N28" s="26">
        <v>17475</v>
      </c>
      <c r="O28" s="26">
        <v>20433.400000000001</v>
      </c>
      <c r="P28" s="26">
        <v>21795.4</v>
      </c>
      <c r="Q28" s="26">
        <v>24701.3</v>
      </c>
      <c r="R28" s="26">
        <v>29274.3</v>
      </c>
      <c r="S28" s="27">
        <v>30609.3</v>
      </c>
    </row>
    <row r="29" spans="1:19" x14ac:dyDescent="0.3">
      <c r="A29" s="41" t="s">
        <v>75</v>
      </c>
      <c r="B29" s="26">
        <v>16192</v>
      </c>
      <c r="C29" s="26">
        <v>19467.2</v>
      </c>
      <c r="D29" s="26">
        <v>27702.9</v>
      </c>
      <c r="E29" s="26">
        <v>30557.200000000001</v>
      </c>
      <c r="F29" s="26">
        <v>35609.300000000003</v>
      </c>
      <c r="G29" s="26">
        <v>40103.5</v>
      </c>
      <c r="H29" s="26">
        <v>45581.5</v>
      </c>
      <c r="I29" s="26">
        <v>57264.4</v>
      </c>
      <c r="J29" s="26">
        <v>67836.899999999994</v>
      </c>
      <c r="K29" s="26">
        <v>74697.7</v>
      </c>
      <c r="L29" s="26">
        <v>87844.7</v>
      </c>
      <c r="M29" s="26">
        <v>94697.7</v>
      </c>
      <c r="N29" s="26">
        <v>96428.6</v>
      </c>
      <c r="O29" s="26">
        <v>104229.6</v>
      </c>
      <c r="P29" s="26">
        <v>125507.7</v>
      </c>
      <c r="Q29" s="26">
        <v>138600.29999999999</v>
      </c>
      <c r="R29" s="26">
        <v>149941.70000000001</v>
      </c>
      <c r="S29" s="27">
        <v>175474.1</v>
      </c>
    </row>
    <row r="30" spans="1:19" x14ac:dyDescent="0.3">
      <c r="A30" s="41" t="s">
        <v>76</v>
      </c>
      <c r="B30" s="26">
        <v>5107.8999999999996</v>
      </c>
      <c r="C30" s="26">
        <v>5608.9</v>
      </c>
      <c r="D30" s="26">
        <v>6898.5</v>
      </c>
      <c r="E30" s="26">
        <v>7432</v>
      </c>
      <c r="F30" s="26">
        <v>8738.4</v>
      </c>
      <c r="G30" s="26">
        <v>9117.2000000000007</v>
      </c>
      <c r="H30" s="26">
        <v>9809.9</v>
      </c>
      <c r="I30" s="26">
        <v>11557.3</v>
      </c>
      <c r="J30" s="26">
        <v>15721.4</v>
      </c>
      <c r="K30" s="26">
        <v>16019.9</v>
      </c>
      <c r="L30" s="26">
        <v>18579.400000000001</v>
      </c>
      <c r="M30" s="26">
        <v>23568</v>
      </c>
      <c r="N30" s="26">
        <v>23710.799999999999</v>
      </c>
      <c r="O30" s="26">
        <v>24677.3</v>
      </c>
      <c r="P30" s="26">
        <v>25699.4</v>
      </c>
      <c r="Q30" s="26">
        <v>28954.3</v>
      </c>
      <c r="R30" s="26">
        <v>38455.300000000003</v>
      </c>
      <c r="S30" s="27">
        <v>42614</v>
      </c>
    </row>
    <row r="31" spans="1:19" x14ac:dyDescent="0.3">
      <c r="A31" s="41" t="s">
        <v>77</v>
      </c>
      <c r="B31" s="26">
        <v>7353.4</v>
      </c>
      <c r="C31" s="26">
        <v>8922.4</v>
      </c>
      <c r="D31" s="26">
        <v>10507.5</v>
      </c>
      <c r="E31" s="26">
        <v>10812.5</v>
      </c>
      <c r="F31" s="26">
        <v>13214.3</v>
      </c>
      <c r="G31" s="26">
        <v>14566</v>
      </c>
      <c r="H31" s="26">
        <v>15433.7</v>
      </c>
      <c r="I31" s="26">
        <v>16061.2</v>
      </c>
      <c r="J31" s="26">
        <v>17636.3</v>
      </c>
      <c r="K31" s="26">
        <v>19607.7</v>
      </c>
      <c r="L31" s="26">
        <v>22284.799999999999</v>
      </c>
      <c r="M31" s="26">
        <v>25264.2</v>
      </c>
      <c r="N31" s="26">
        <v>27356.799999999999</v>
      </c>
      <c r="O31" s="26">
        <v>28163.7</v>
      </c>
      <c r="P31" s="26">
        <v>32519</v>
      </c>
      <c r="Q31" s="26">
        <v>33800</v>
      </c>
      <c r="R31" s="26">
        <v>38666.300000000003</v>
      </c>
      <c r="S31" s="27">
        <v>43716.3</v>
      </c>
    </row>
    <row r="32" spans="1:19" x14ac:dyDescent="0.3">
      <c r="A32" s="41" t="s">
        <v>78</v>
      </c>
      <c r="B32" s="26">
        <v>926.8</v>
      </c>
      <c r="C32" s="26">
        <v>1062.4000000000001</v>
      </c>
      <c r="D32" s="26">
        <v>1365.7</v>
      </c>
      <c r="E32" s="26">
        <v>1557.2</v>
      </c>
      <c r="F32" s="26">
        <v>1723.1</v>
      </c>
      <c r="G32" s="26">
        <v>1409.1</v>
      </c>
      <c r="H32" s="26">
        <v>1873.3</v>
      </c>
      <c r="I32" s="26">
        <v>2260</v>
      </c>
      <c r="J32" s="26">
        <v>2465.5</v>
      </c>
      <c r="K32" s="26">
        <v>2359.1</v>
      </c>
      <c r="L32" s="26">
        <v>2499.4</v>
      </c>
      <c r="M32" s="26">
        <v>2747.7</v>
      </c>
      <c r="N32" s="26">
        <v>2820.7</v>
      </c>
      <c r="O32" s="26">
        <v>2810.4</v>
      </c>
      <c r="P32" s="26">
        <v>3051.3</v>
      </c>
      <c r="Q32" s="26">
        <v>3748.7</v>
      </c>
      <c r="R32" s="26">
        <v>4789.5</v>
      </c>
      <c r="S32" s="27">
        <v>4688</v>
      </c>
    </row>
    <row r="33" spans="1:19" x14ac:dyDescent="0.3">
      <c r="A33" s="42" t="s">
        <v>79</v>
      </c>
      <c r="B33" s="43">
        <v>265466.5</v>
      </c>
      <c r="C33" s="43">
        <v>331538.2</v>
      </c>
      <c r="D33" s="43">
        <v>392936.2</v>
      </c>
      <c r="E33" s="43">
        <v>451937.1</v>
      </c>
      <c r="F33" s="43">
        <v>523569.3</v>
      </c>
      <c r="G33" s="43">
        <v>602942.69999999995</v>
      </c>
      <c r="H33" s="43">
        <v>679201.1</v>
      </c>
      <c r="I33" s="43">
        <v>830055.8</v>
      </c>
      <c r="J33" s="43">
        <v>968936.4</v>
      </c>
      <c r="K33" s="43">
        <v>1128188.3</v>
      </c>
      <c r="L33" s="43">
        <v>1225718.3999999999</v>
      </c>
      <c r="M33" s="43">
        <v>1342723.6</v>
      </c>
      <c r="N33" s="43">
        <v>1410326.9</v>
      </c>
      <c r="O33" s="43">
        <v>1512087</v>
      </c>
      <c r="P33" s="43">
        <v>1716370.7</v>
      </c>
      <c r="Q33" s="43">
        <v>1922651.8</v>
      </c>
      <c r="R33" s="43">
        <v>2366910.1</v>
      </c>
      <c r="S33" s="44">
        <v>2628986.7000000002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"/>
  <sheetViews>
    <sheetView workbookViewId="0">
      <selection activeCell="E13" sqref="E13"/>
    </sheetView>
  </sheetViews>
  <sheetFormatPr defaultRowHeight="14.4" x14ac:dyDescent="0.3"/>
  <cols>
    <col min="2" max="2" width="6.5546875" customWidth="1"/>
    <col min="3" max="3" width="12.109375" customWidth="1"/>
    <col min="4" max="4" width="18.33203125" style="14" customWidth="1"/>
    <col min="5" max="5" width="21.77734375" customWidth="1"/>
    <col min="9" max="9" width="18.33203125" customWidth="1"/>
    <col min="10" max="10" width="30.21875" customWidth="1"/>
  </cols>
  <sheetData>
    <row r="3" spans="2:5" x14ac:dyDescent="0.3">
      <c r="B3" t="s">
        <v>19</v>
      </c>
      <c r="C3" t="s">
        <v>82</v>
      </c>
      <c r="D3" s="14" t="s">
        <v>84</v>
      </c>
      <c r="E3" t="s">
        <v>83</v>
      </c>
    </row>
    <row r="4" spans="2:5" x14ac:dyDescent="0.3">
      <c r="B4">
        <v>2011</v>
      </c>
      <c r="C4">
        <v>121.09</v>
      </c>
      <c r="D4" s="26">
        <v>523569.3</v>
      </c>
      <c r="E4">
        <f>D4/C4</f>
        <v>4323.802956478652</v>
      </c>
    </row>
    <row r="5" spans="2:5" x14ac:dyDescent="0.3">
      <c r="B5">
        <v>2025</v>
      </c>
      <c r="C5">
        <v>146</v>
      </c>
      <c r="D5" s="26">
        <v>2628986.7000000002</v>
      </c>
      <c r="E5" s="14">
        <f>D5/C5</f>
        <v>18006.758219178082</v>
      </c>
    </row>
    <row r="8" spans="2:5" x14ac:dyDescent="0.3">
      <c r="D8"/>
    </row>
    <row r="9" spans="2:5" x14ac:dyDescent="0.3">
      <c r="D9"/>
    </row>
    <row r="10" spans="2:5" x14ac:dyDescent="0.3">
      <c r="D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5"/>
  <sheetViews>
    <sheetView workbookViewId="0">
      <selection activeCell="E10" sqref="E10"/>
    </sheetView>
  </sheetViews>
  <sheetFormatPr defaultRowHeight="14.4" x14ac:dyDescent="0.3"/>
  <cols>
    <col min="3" max="3" width="12.109375" customWidth="1"/>
    <col min="4" max="4" width="15.6640625" customWidth="1"/>
    <col min="5" max="5" width="23.6640625" customWidth="1"/>
  </cols>
  <sheetData>
    <row r="4" spans="2:5" x14ac:dyDescent="0.3">
      <c r="B4" t="s">
        <v>19</v>
      </c>
      <c r="C4" t="s">
        <v>82</v>
      </c>
      <c r="D4" t="s">
        <v>89</v>
      </c>
      <c r="E4" t="s">
        <v>90</v>
      </c>
    </row>
    <row r="5" spans="2:5" x14ac:dyDescent="0.3">
      <c r="B5">
        <v>2025</v>
      </c>
      <c r="C5">
        <v>146</v>
      </c>
      <c r="D5" s="26">
        <v>364988.1</v>
      </c>
      <c r="E5">
        <f>D5/C5</f>
        <v>2499.9184931506848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2"/>
  <sheetViews>
    <sheetView workbookViewId="0">
      <selection activeCell="D4" sqref="D4"/>
    </sheetView>
  </sheetViews>
  <sheetFormatPr defaultRowHeight="14.4" x14ac:dyDescent="0.3"/>
  <cols>
    <col min="2" max="2" width="9" bestFit="1" customWidth="1"/>
    <col min="3" max="3" width="18.77734375" bestFit="1" customWidth="1"/>
    <col min="4" max="4" width="17.109375" style="32" bestFit="1" customWidth="1"/>
  </cols>
  <sheetData>
    <row r="3" spans="2:4" ht="28.8" x14ac:dyDescent="0.3">
      <c r="B3" s="2" t="s">
        <v>19</v>
      </c>
      <c r="C3" s="2" t="s">
        <v>84</v>
      </c>
      <c r="D3" s="33" t="s">
        <v>85</v>
      </c>
    </row>
    <row r="4" spans="2:4" x14ac:dyDescent="0.3">
      <c r="B4" t="s">
        <v>0</v>
      </c>
      <c r="C4">
        <v>2628986.7000000002</v>
      </c>
      <c r="D4" s="32">
        <v>11.072520244854299</v>
      </c>
    </row>
    <row r="5" spans="2:4" x14ac:dyDescent="0.3">
      <c r="B5" t="s">
        <v>1</v>
      </c>
      <c r="C5">
        <v>2366910.1</v>
      </c>
      <c r="D5" s="32">
        <v>23.106539624075499</v>
      </c>
    </row>
    <row r="6" spans="2:4" x14ac:dyDescent="0.3">
      <c r="B6" t="s">
        <v>2</v>
      </c>
      <c r="C6">
        <v>1922651.8</v>
      </c>
      <c r="D6" s="32">
        <v>12.018446830862359</v>
      </c>
    </row>
    <row r="7" spans="2:4" x14ac:dyDescent="0.3">
      <c r="B7" t="s">
        <v>3</v>
      </c>
      <c r="C7">
        <v>1716370.7</v>
      </c>
      <c r="D7" s="32">
        <v>13.510049355625696</v>
      </c>
    </row>
    <row r="8" spans="2:4" x14ac:dyDescent="0.3">
      <c r="B8" t="s">
        <v>4</v>
      </c>
      <c r="C8">
        <v>1512087</v>
      </c>
      <c r="D8" s="32">
        <v>7.2153555321110368</v>
      </c>
    </row>
    <row r="9" spans="2:4" x14ac:dyDescent="0.3">
      <c r="B9" t="s">
        <v>5</v>
      </c>
      <c r="C9">
        <v>1410326.9</v>
      </c>
      <c r="D9" s="32">
        <v>5.0347889915690622</v>
      </c>
    </row>
    <row r="10" spans="2:4" x14ac:dyDescent="0.3">
      <c r="B10" t="s">
        <v>6</v>
      </c>
      <c r="C10">
        <v>1342723.6</v>
      </c>
      <c r="D10" s="32">
        <v>11.806601211506942</v>
      </c>
    </row>
    <row r="11" spans="2:4" x14ac:dyDescent="0.3">
      <c r="B11" t="s">
        <v>7</v>
      </c>
      <c r="C11">
        <v>1200934.1000000001</v>
      </c>
      <c r="D11" s="32">
        <v>6.4480193598887734</v>
      </c>
    </row>
    <row r="12" spans="2:4" x14ac:dyDescent="0.3">
      <c r="B12" t="s">
        <v>8</v>
      </c>
      <c r="C12">
        <v>1128188.3</v>
      </c>
      <c r="D12" s="32">
        <v>16.435743357355552</v>
      </c>
    </row>
    <row r="13" spans="2:4" x14ac:dyDescent="0.3">
      <c r="B13" t="s">
        <v>9</v>
      </c>
      <c r="C13">
        <v>968936.4</v>
      </c>
      <c r="D13" s="32">
        <v>16.730886923836835</v>
      </c>
    </row>
    <row r="14" spans="2:4" x14ac:dyDescent="0.3">
      <c r="B14" t="s">
        <v>10</v>
      </c>
      <c r="C14">
        <v>830060</v>
      </c>
      <c r="D14" s="32">
        <v>22.211227278636624</v>
      </c>
    </row>
    <row r="15" spans="2:4" x14ac:dyDescent="0.3">
      <c r="B15" t="s">
        <v>11</v>
      </c>
      <c r="C15">
        <v>679201.1</v>
      </c>
      <c r="D15" s="32">
        <v>12.647702675561048</v>
      </c>
    </row>
    <row r="16" spans="2:4" x14ac:dyDescent="0.3">
      <c r="B16" t="s">
        <v>12</v>
      </c>
      <c r="C16">
        <v>602942.69999999995</v>
      </c>
      <c r="D16" s="32">
        <v>15.160056175944611</v>
      </c>
    </row>
    <row r="17" spans="2:4" x14ac:dyDescent="0.3">
      <c r="B17" t="s">
        <v>13</v>
      </c>
      <c r="C17">
        <v>523569.3</v>
      </c>
      <c r="D17" s="32">
        <v>15.850191343252865</v>
      </c>
    </row>
    <row r="18" spans="2:4" x14ac:dyDescent="0.3">
      <c r="B18" t="s">
        <v>14</v>
      </c>
      <c r="C18">
        <v>451936.5</v>
      </c>
      <c r="D18" s="32">
        <v>13.058404371672186</v>
      </c>
    </row>
    <row r="19" spans="2:4" x14ac:dyDescent="0.3">
      <c r="B19" t="s">
        <v>15</v>
      </c>
      <c r="C19">
        <v>399737.2</v>
      </c>
      <c r="D19" s="32">
        <v>20.570480264415984</v>
      </c>
    </row>
    <row r="20" spans="2:4" x14ac:dyDescent="0.3">
      <c r="B20" t="s">
        <v>16</v>
      </c>
      <c r="C20">
        <v>331538.2</v>
      </c>
      <c r="D20" s="32">
        <v>24.888950164691266</v>
      </c>
    </row>
    <row r="21" spans="2:4" x14ac:dyDescent="0.3">
      <c r="B21" t="s">
        <v>17</v>
      </c>
      <c r="C21">
        <v>265466.40000000002</v>
      </c>
      <c r="D21" s="32">
        <v>19.049528181311839</v>
      </c>
    </row>
    <row r="22" spans="2:4" x14ac:dyDescent="0.3">
      <c r="B22" t="s">
        <v>18</v>
      </c>
      <c r="C22">
        <v>222988.2</v>
      </c>
      <c r="D22" s="32" t="e">
        <v>#DIV/0!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topLeftCell="A11" workbookViewId="0">
      <selection activeCell="E25" sqref="E25"/>
    </sheetView>
  </sheetViews>
  <sheetFormatPr defaultRowHeight="14.4" x14ac:dyDescent="0.3"/>
  <cols>
    <col min="2" max="2" width="7.6640625" bestFit="1" customWidth="1"/>
    <col min="3" max="3" width="17.6640625" style="35" customWidth="1"/>
    <col min="4" max="4" width="11.5546875" bestFit="1" customWidth="1"/>
    <col min="5" max="5" width="42.88671875" customWidth="1"/>
    <col min="6" max="8" width="10.6640625" bestFit="1" customWidth="1"/>
  </cols>
  <sheetData>
    <row r="3" spans="2:6" ht="43.8" thickBot="1" x14ac:dyDescent="0.35">
      <c r="B3" s="2" t="s">
        <v>19</v>
      </c>
      <c r="C3" s="2" t="s">
        <v>87</v>
      </c>
      <c r="D3" s="38" t="s">
        <v>22</v>
      </c>
      <c r="E3" s="37" t="s">
        <v>88</v>
      </c>
    </row>
    <row r="4" spans="2:6" x14ac:dyDescent="0.3">
      <c r="B4" s="36" t="s">
        <v>86</v>
      </c>
      <c r="C4" s="34">
        <v>583387</v>
      </c>
      <c r="D4" s="26">
        <v>222988.2</v>
      </c>
      <c r="E4">
        <f>(D4/C4)*100</f>
        <v>38.223032052479745</v>
      </c>
    </row>
    <row r="5" spans="2:6" x14ac:dyDescent="0.3">
      <c r="B5" s="36" t="s">
        <v>31</v>
      </c>
      <c r="C5" s="34">
        <v>712671</v>
      </c>
      <c r="D5" s="26">
        <v>265466.40000000002</v>
      </c>
      <c r="E5" s="35">
        <f t="shared" ref="E5:E22" si="0">(D5/C5)*100</f>
        <v>37.249502224729227</v>
      </c>
    </row>
    <row r="6" spans="2:6" x14ac:dyDescent="0.3">
      <c r="B6" s="36" t="s">
        <v>32</v>
      </c>
      <c r="C6" s="34">
        <v>883956</v>
      </c>
      <c r="D6" s="26">
        <v>331538.2</v>
      </c>
      <c r="E6" s="35">
        <f t="shared" si="0"/>
        <v>37.50618809080995</v>
      </c>
      <c r="F6" s="35"/>
    </row>
    <row r="7" spans="2:6" x14ac:dyDescent="0.3">
      <c r="B7" s="36" t="s">
        <v>33</v>
      </c>
      <c r="C7" s="34">
        <v>1024487</v>
      </c>
      <c r="D7" s="26">
        <v>399737.2</v>
      </c>
      <c r="E7" s="35">
        <f t="shared" si="0"/>
        <v>39.018279392515474</v>
      </c>
    </row>
    <row r="8" spans="2:6" x14ac:dyDescent="0.3">
      <c r="B8" s="36" t="s">
        <v>34</v>
      </c>
      <c r="C8" s="34">
        <v>1197327</v>
      </c>
      <c r="D8" s="26">
        <v>451936.5</v>
      </c>
      <c r="E8" s="35">
        <f t="shared" si="0"/>
        <v>37.745452996549815</v>
      </c>
    </row>
    <row r="9" spans="2:6" x14ac:dyDescent="0.3">
      <c r="B9" s="36" t="s">
        <v>35</v>
      </c>
      <c r="C9" s="34">
        <v>1304365</v>
      </c>
      <c r="D9" s="26">
        <v>523569.3</v>
      </c>
      <c r="E9" s="35">
        <f t="shared" si="0"/>
        <v>40.139784492837514</v>
      </c>
    </row>
    <row r="10" spans="2:6" x14ac:dyDescent="0.3">
      <c r="B10" s="36" t="s">
        <v>36</v>
      </c>
      <c r="C10" s="34">
        <v>1410372</v>
      </c>
      <c r="D10" s="26">
        <v>602942.69999999995</v>
      </c>
      <c r="E10" s="35">
        <f t="shared" si="0"/>
        <v>42.750614731432556</v>
      </c>
    </row>
    <row r="11" spans="2:6" x14ac:dyDescent="0.3">
      <c r="B11" s="36" t="s">
        <v>37</v>
      </c>
      <c r="C11" s="34">
        <v>1559447</v>
      </c>
      <c r="D11" s="26">
        <v>679201.1</v>
      </c>
      <c r="E11" s="35">
        <f t="shared" si="0"/>
        <v>43.553971375750507</v>
      </c>
    </row>
    <row r="12" spans="2:6" x14ac:dyDescent="0.3">
      <c r="B12" s="36" t="s">
        <v>38</v>
      </c>
      <c r="C12" s="34">
        <v>1663673</v>
      </c>
      <c r="D12" s="26">
        <v>830060</v>
      </c>
      <c r="E12" s="35">
        <f t="shared" si="0"/>
        <v>49.893218198528196</v>
      </c>
    </row>
    <row r="13" spans="2:6" x14ac:dyDescent="0.3">
      <c r="B13" s="36" t="s">
        <v>39</v>
      </c>
      <c r="C13" s="34">
        <v>1790783</v>
      </c>
      <c r="D13" s="26">
        <v>968936.4</v>
      </c>
      <c r="E13" s="35">
        <f t="shared" si="0"/>
        <v>54.106857168065595</v>
      </c>
    </row>
    <row r="14" spans="2:6" x14ac:dyDescent="0.3">
      <c r="B14" s="36" t="s">
        <v>40</v>
      </c>
      <c r="C14" s="34">
        <v>1975194</v>
      </c>
      <c r="D14" s="26">
        <v>1128188.3</v>
      </c>
      <c r="E14" s="35">
        <f t="shared" si="0"/>
        <v>57.117847664583834</v>
      </c>
    </row>
    <row r="15" spans="2:6" x14ac:dyDescent="0.3">
      <c r="B15" s="36" t="s">
        <v>41</v>
      </c>
      <c r="C15" s="34">
        <v>2141973</v>
      </c>
      <c r="D15" s="26">
        <v>1200934.1000000001</v>
      </c>
      <c r="E15" s="35">
        <f t="shared" si="0"/>
        <v>56.066724463847116</v>
      </c>
    </row>
    <row r="16" spans="2:6" x14ac:dyDescent="0.3">
      <c r="B16" s="36" t="s">
        <v>42</v>
      </c>
      <c r="C16" s="34">
        <v>2315113</v>
      </c>
      <c r="D16" s="26">
        <v>1342723.6</v>
      </c>
      <c r="E16" s="35">
        <f t="shared" si="0"/>
        <v>57.9981884253598</v>
      </c>
    </row>
    <row r="17" spans="2:5" x14ac:dyDescent="0.3">
      <c r="B17" s="36" t="s">
        <v>43</v>
      </c>
      <c r="C17" s="34">
        <v>2686330</v>
      </c>
      <c r="D17" s="26">
        <v>1410326.9</v>
      </c>
      <c r="E17" s="35">
        <f t="shared" si="0"/>
        <v>52.500135873105677</v>
      </c>
    </row>
    <row r="18" spans="2:5" x14ac:dyDescent="0.3">
      <c r="B18" s="36" t="s">
        <v>44</v>
      </c>
      <c r="C18" s="34">
        <v>3509836</v>
      </c>
      <c r="D18" s="26">
        <v>1512087</v>
      </c>
      <c r="E18" s="35">
        <f t="shared" si="0"/>
        <v>43.081414630199241</v>
      </c>
    </row>
    <row r="19" spans="2:5" x14ac:dyDescent="0.3">
      <c r="B19" s="36" t="s">
        <v>45</v>
      </c>
      <c r="C19" s="34">
        <v>3793801</v>
      </c>
      <c r="D19" s="26">
        <v>1716370.7</v>
      </c>
      <c r="E19" s="35">
        <f t="shared" si="0"/>
        <v>45.241453096775501</v>
      </c>
    </row>
    <row r="20" spans="2:5" x14ac:dyDescent="0.3">
      <c r="B20" s="36" t="s">
        <v>46</v>
      </c>
      <c r="C20" s="34">
        <v>4193157</v>
      </c>
      <c r="D20" s="26">
        <v>1922651.8</v>
      </c>
      <c r="E20" s="35">
        <f t="shared" si="0"/>
        <v>45.852130029951184</v>
      </c>
    </row>
    <row r="21" spans="2:5" x14ac:dyDescent="0.3">
      <c r="B21" s="36" t="s">
        <v>80</v>
      </c>
      <c r="C21" s="34">
        <v>4443447</v>
      </c>
      <c r="D21" s="26">
        <v>2366910.1</v>
      </c>
      <c r="E21" s="35">
        <f t="shared" si="0"/>
        <v>53.267431793380226</v>
      </c>
    </row>
    <row r="22" spans="2:5" x14ac:dyDescent="0.3">
      <c r="B22" s="36" t="s">
        <v>81</v>
      </c>
      <c r="C22" s="34">
        <v>4716487</v>
      </c>
      <c r="D22" s="26">
        <v>2628986.7000000002</v>
      </c>
      <c r="E22" s="35">
        <f>(D22/C22)*100</f>
        <v>55.740357176856428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Combined</vt:lpstr>
      <vt:lpstr>Ex on Edu</vt:lpstr>
      <vt:lpstr>Ex on H</vt:lpstr>
      <vt:lpstr>Ex on Welfare</vt:lpstr>
      <vt:lpstr>State wise Expenditure</vt:lpstr>
      <vt:lpstr>Per Capita SE</vt:lpstr>
      <vt:lpstr>Per capita Growth</vt:lpstr>
      <vt:lpstr>Growth in Expenditure</vt:lpstr>
      <vt:lpstr>Share of TE (%)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2025-10-28T17:31:16Z</dcterms:created>
  <dcterms:modified xsi:type="dcterms:W3CDTF">2025-10-29T20:49:14Z</dcterms:modified>
</cp:coreProperties>
</file>