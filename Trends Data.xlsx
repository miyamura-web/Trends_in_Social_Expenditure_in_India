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. Self Projects\5. Trends of Social Exxpenditure in India\"/>
    </mc:Choice>
  </mc:AlternateContent>
  <bookViews>
    <workbookView xWindow="0" yWindow="0" windowWidth="17256" windowHeight="5676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</calcChain>
</file>

<file path=xl/sharedStrings.xml><?xml version="1.0" encoding="utf-8"?>
<sst xmlns="http://schemas.openxmlformats.org/spreadsheetml/2006/main" count="59" uniqueCount="58">
  <si>
    <t>Year</t>
  </si>
  <si>
    <t>Real GDP</t>
  </si>
  <si>
    <t>Nominal GDP</t>
  </si>
  <si>
    <t>Revenue 
Expenditure</t>
  </si>
  <si>
    <t>Urban 
Development</t>
  </si>
  <si>
    <t>Rural 
Development</t>
  </si>
  <si>
    <t>Social Security 
and Welfare</t>
  </si>
  <si>
    <t>Capital 
Expenditure</t>
  </si>
  <si>
    <t xml:space="preserve"> Education</t>
  </si>
  <si>
    <t>Public Health</t>
  </si>
  <si>
    <t>Total Social
 Expenditure</t>
  </si>
  <si>
    <t>Total Expenditure</t>
  </si>
  <si>
    <t>Total Social Expenditure</t>
  </si>
  <si>
    <t>Education</t>
  </si>
  <si>
    <t>Health</t>
  </si>
  <si>
    <t>Urban Development</t>
  </si>
  <si>
    <t>Rural Development</t>
  </si>
  <si>
    <t>Welfare</t>
  </si>
  <si>
    <t>Others</t>
  </si>
  <si>
    <t>Housing</t>
  </si>
  <si>
    <t>Labour</t>
  </si>
  <si>
    <t>Calamities</t>
  </si>
  <si>
    <t>Food Storage</t>
  </si>
  <si>
    <t>Loans &amp; Advances</t>
  </si>
  <si>
    <t>Capital Outlay</t>
  </si>
  <si>
    <t>State/UT</t>
  </si>
  <si>
    <t>2024-25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</si>
  <si>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</si>
  <si>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</si>
  <si>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</si>
  <si>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</si>
  <si>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</si>
  <si>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</si>
  <si>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</si>
  <si>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</si>
  <si>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</si>
  <si>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</si>
  <si>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</si>
  <si>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</si>
  <si>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</si>
  <si>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</si>
  <si>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</si>
  <si>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</si>
  <si>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</si>
  <si>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</si>
  <si>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</si>
  <si>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</si>
  <si>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</si>
  <si>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</si>
  <si>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</si>
  <si>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</si>
  <si>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</si>
  <si>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</si>
  <si>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</si>
  <si>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</si>
  <si>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Jammu and Kashmir</t>
  </si>
  <si>
    <t>NCT Delhi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</si>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</sst>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b/>
      <sz val="10"/>
      <color theme="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2" fontId="0" fillId="3" borderId="2" xfId="0" applyNumberFormat="1" applyFont="1" applyFill="1" applyBorder="1"/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/>
    </xf>
    <xf numFmtId="1" fontId="2" fillId="0" borderId="0" xfId="0" applyNumberFormat="1" applyFont="1"/>
    <xf numFmtId="1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2" fontId="1" fillId="2" borderId="1" xfId="0" applyNumberFormat="1" applyFont="1" applyFill="1" applyBorder="1" applyAlignment="1">
      <alignment horizontal="right" vertical="center" wrapText="1"/>
    </xf>
    <xf numFmtId="0" fontId="0" fillId="0" borderId="0" xfId="0"/>
    <xf numFmtId="0" fontId="0" fillId="0" borderId="0" xfId="0"/>
    <xf numFmtId="1" fontId="1" fillId="2" borderId="1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164" fontId="1" fillId="2" borderId="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22222"/>
        <name val="Arial"/>
        <scheme val="none"/>
      </font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L20" totalsRowShown="0" headerRowDxfId="34">
  <autoFilter ref="A1:L20"/>
  <tableColumns count="12">
    <tableColumn id="1" name="Year" dataDxfId="33"/>
    <tableColumn id="2" name="Real GDP" dataDxfId="32"/>
    <tableColumn id="3" name="Nominal GDP" dataDxfId="31"/>
    <tableColumn id="4" name="Total Social_x000a_ Expenditure" dataDxfId="30"/>
    <tableColumn id="5" name="Revenue _x000a_Expenditure" dataDxfId="29"/>
    <tableColumn id="6" name=" Education" dataDxfId="28"/>
    <tableColumn id="7" name="Public Health" dataDxfId="27"/>
    <tableColumn id="8" name="Urban _x000a_Development" dataDxfId="26"/>
    <tableColumn id="9" name="Rural _x000a_Development" dataDxfId="25"/>
    <tableColumn id="10" name="Social Security _x000a_and Welfare" dataDxfId="24"/>
    <tableColumn id="11" name="Capital _x000a_Expenditure" dataDxfId="23"/>
    <tableColumn id="12" name="Total Expenditur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N2" totalsRowShown="0" dataDxfId="21">
  <autoFilter ref="A1:N2"/>
  <tableColumns count="14">
    <tableColumn id="1" name="Year" dataDxfId="20"/>
    <tableColumn id="2" name="Total Social Expenditure" dataDxfId="19"/>
    <tableColumn id="3" name="Education" dataDxfId="18"/>
    <tableColumn id="4" name="Health" dataDxfId="17"/>
    <tableColumn id="5" name="Urban Development" dataDxfId="16"/>
    <tableColumn id="6" name="Rural Development" dataDxfId="15"/>
    <tableColumn id="7" name="Welfare" dataDxfId="14"/>
    <tableColumn id="8" name="Calamities" dataDxfId="13"/>
    <tableColumn id="9" name="Labour" dataDxfId="12"/>
    <tableColumn id="10" name="Housing" dataDxfId="11"/>
    <tableColumn id="11" name="Food Storage" dataDxfId="10"/>
    <tableColumn id="12" name="Capital Outlay" dataDxfId="9"/>
    <tableColumn id="13" name="Loans &amp; Advances" dataDxfId="8"/>
    <tableColumn id="14" name="Others" dataDxfId="7">
      <calculatedColumnFormula>B2-(C2+D2+E2+F2+G2+H2+I2+J2+K2+M2+L2)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9" displayName="Table9" ref="B2:C33" totalsRowShown="0" headerRowDxfId="6" dataDxfId="5" headerRowBorderDxfId="3" tableBorderDxfId="4" totalsRowBorderDxfId="2">
  <autoFilter ref="B2:C33"/>
  <tableColumns count="2">
    <tableColumn id="1" name="State/UT" dataDxfId="1"/>
    <tableColumn id="19" name="2024-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opLeftCell="F1" workbookViewId="0">
      <selection activeCell="J2" sqref="J2"/>
    </sheetView>
  </sheetViews>
  <sheetFormatPr defaultRowHeight="14.4" x14ac:dyDescent="0.3"/>
  <cols>
    <col min="1" max="1" width="11.5546875" bestFit="1" customWidth="1"/>
    <col min="2" max="2" width="10.77734375" style="2" bestFit="1" customWidth="1"/>
    <col min="3" max="3" width="14.33203125" style="2" bestFit="1" customWidth="1"/>
    <col min="4" max="4" width="13.77734375" style="2" bestFit="1" customWidth="1"/>
    <col min="5" max="5" width="13.33203125" style="2" bestFit="1" customWidth="1"/>
    <col min="6" max="6" width="12.109375" style="2" bestFit="1" customWidth="1"/>
    <col min="7" max="7" width="14.21875" style="2" bestFit="1" customWidth="1"/>
    <col min="8" max="9" width="14.5546875" style="2" bestFit="1" customWidth="1"/>
    <col min="10" max="10" width="15.44140625" style="2" bestFit="1" customWidth="1"/>
    <col min="11" max="11" width="13.33203125" style="2" bestFit="1" customWidth="1"/>
    <col min="12" max="12" width="11.5546875" style="8" bestFit="1" customWidth="1"/>
  </cols>
  <sheetData>
    <row r="1" spans="1:12" s="1" customFormat="1" ht="28.8" x14ac:dyDescent="0.3">
      <c r="A1" s="9" t="s">
        <v>0</v>
      </c>
      <c r="B1" s="4" t="s">
        <v>1</v>
      </c>
      <c r="C1" s="4" t="s">
        <v>2</v>
      </c>
      <c r="D1" s="5" t="s">
        <v>10</v>
      </c>
      <c r="E1" s="5" t="s">
        <v>3</v>
      </c>
      <c r="F1" s="5" t="s">
        <v>8</v>
      </c>
      <c r="G1" s="5" t="s">
        <v>9</v>
      </c>
      <c r="H1" s="5" t="s">
        <v>4</v>
      </c>
      <c r="I1" s="5" t="s">
        <v>5</v>
      </c>
      <c r="J1" s="5" t="s">
        <v>6</v>
      </c>
      <c r="K1" s="5" t="s">
        <v>7</v>
      </c>
      <c r="L1" s="6" t="s">
        <v>11</v>
      </c>
    </row>
    <row r="2" spans="1:12" x14ac:dyDescent="0.3">
      <c r="A2" s="8">
        <v>2024</v>
      </c>
      <c r="B2" s="2">
        <v>6.4947655238393702</v>
      </c>
      <c r="C2" s="2">
        <v>9.77722598460727</v>
      </c>
      <c r="D2" s="2">
        <v>2628986.7000000002</v>
      </c>
      <c r="E2" s="2">
        <v>2220710.5</v>
      </c>
      <c r="F2" s="2">
        <v>803010</v>
      </c>
      <c r="G2" s="2">
        <v>259734.5</v>
      </c>
      <c r="H2" s="2">
        <v>126812.4</v>
      </c>
      <c r="I2" s="2">
        <v>227460.4</v>
      </c>
      <c r="J2" s="2">
        <v>339584.6</v>
      </c>
      <c r="K2" s="2">
        <v>364988.1</v>
      </c>
      <c r="L2" s="7">
        <v>4716487</v>
      </c>
    </row>
    <row r="3" spans="1:12" x14ac:dyDescent="0.3">
      <c r="A3" s="8">
        <v>2023</v>
      </c>
      <c r="B3" s="2">
        <v>9.1907549302843599</v>
      </c>
      <c r="C3" s="2">
        <v>12.020924206027599</v>
      </c>
      <c r="D3" s="2">
        <v>2366910.1</v>
      </c>
      <c r="E3" s="2">
        <v>1996099.2</v>
      </c>
      <c r="F3" s="2">
        <v>716042.1</v>
      </c>
      <c r="G3" s="2">
        <v>233520.6</v>
      </c>
      <c r="H3" s="2">
        <v>129083.7</v>
      </c>
      <c r="I3" s="2">
        <v>206037.5</v>
      </c>
      <c r="J3" s="2">
        <v>267540.09999999998</v>
      </c>
      <c r="K3" s="2">
        <v>339615.7</v>
      </c>
      <c r="L3" s="7">
        <v>4443447</v>
      </c>
    </row>
    <row r="4" spans="1:12" x14ac:dyDescent="0.3">
      <c r="A4" s="8">
        <v>2022</v>
      </c>
      <c r="B4" s="2">
        <v>7.6093649777040904</v>
      </c>
      <c r="C4" s="2">
        <v>13.9552418839056</v>
      </c>
      <c r="D4" s="2">
        <v>1922651.8</v>
      </c>
      <c r="E4" s="2">
        <v>1670374.8</v>
      </c>
      <c r="F4" s="2">
        <v>646223.9</v>
      </c>
      <c r="G4" s="2">
        <v>190333.9</v>
      </c>
      <c r="H4" s="2">
        <v>104532.1</v>
      </c>
      <c r="I4" s="2">
        <v>164695.29999999999</v>
      </c>
      <c r="J4" s="2">
        <v>206092.79999999999</v>
      </c>
      <c r="K4" s="2">
        <v>224024.1</v>
      </c>
      <c r="L4" s="7">
        <v>4193157</v>
      </c>
    </row>
    <row r="5" spans="1:12" x14ac:dyDescent="0.3">
      <c r="A5" s="8">
        <v>2021</v>
      </c>
      <c r="B5" s="2">
        <v>9.6895924919120997</v>
      </c>
      <c r="C5" s="2">
        <v>18.854056717407101</v>
      </c>
      <c r="D5" s="2">
        <v>1716370.7</v>
      </c>
      <c r="E5" s="2">
        <v>1501451.3</v>
      </c>
      <c r="F5" s="2">
        <v>569751.4</v>
      </c>
      <c r="G5" s="2">
        <v>192604.3</v>
      </c>
      <c r="H5" s="2">
        <v>89317.7</v>
      </c>
      <c r="I5" s="2">
        <v>151182.70000000001</v>
      </c>
      <c r="J5" s="2">
        <v>168974.8</v>
      </c>
      <c r="K5" s="2">
        <v>193870.5</v>
      </c>
      <c r="L5" s="7">
        <v>3793801</v>
      </c>
    </row>
    <row r="6" spans="1:12" x14ac:dyDescent="0.3">
      <c r="A6" s="8">
        <v>2020</v>
      </c>
      <c r="B6" s="2">
        <v>-5.7777261622849903</v>
      </c>
      <c r="C6" s="2">
        <v>-1.24105672803364</v>
      </c>
      <c r="D6" s="2">
        <v>1512087</v>
      </c>
      <c r="E6" s="2">
        <v>1351173.2</v>
      </c>
      <c r="F6" s="2">
        <v>512428.9</v>
      </c>
      <c r="G6" s="2">
        <v>156355.79999999999</v>
      </c>
      <c r="H6" s="2">
        <v>84671.4</v>
      </c>
      <c r="I6" s="2">
        <v>160168.1</v>
      </c>
      <c r="J6" s="2">
        <v>142090.1</v>
      </c>
      <c r="K6" s="2">
        <v>140073.20000000001</v>
      </c>
      <c r="L6" s="7">
        <v>3509836</v>
      </c>
    </row>
    <row r="7" spans="1:12" x14ac:dyDescent="0.3">
      <c r="A7" s="8">
        <v>2019</v>
      </c>
      <c r="B7" s="2">
        <v>3.87143807215566</v>
      </c>
      <c r="C7" s="2">
        <v>6.3700854427707396</v>
      </c>
      <c r="D7" s="2">
        <v>1410326.9</v>
      </c>
      <c r="E7" s="2">
        <v>1267449.2</v>
      </c>
      <c r="F7" s="2">
        <v>516390.7</v>
      </c>
      <c r="G7" s="2">
        <v>136605.1</v>
      </c>
      <c r="H7" s="2">
        <v>72141.7</v>
      </c>
      <c r="I7" s="2">
        <v>143731.6</v>
      </c>
      <c r="J7" s="2">
        <v>128971.8</v>
      </c>
      <c r="K7" s="2">
        <v>127080.9</v>
      </c>
      <c r="L7" s="7">
        <v>2686330</v>
      </c>
    </row>
    <row r="8" spans="1:12" x14ac:dyDescent="0.3">
      <c r="A8" s="8">
        <v>2018</v>
      </c>
      <c r="B8" s="2">
        <v>6.4538530019440703</v>
      </c>
      <c r="C8" s="2">
        <v>10.588774445375901</v>
      </c>
      <c r="D8" s="2">
        <v>1342723.6</v>
      </c>
      <c r="E8" s="2">
        <v>1186239.2</v>
      </c>
      <c r="F8" s="2">
        <v>467961.5</v>
      </c>
      <c r="G8" s="2">
        <v>125575.9</v>
      </c>
      <c r="H8" s="2">
        <v>67444.399999999994</v>
      </c>
      <c r="I8" s="2">
        <v>137508.1</v>
      </c>
      <c r="J8" s="2">
        <v>134868.20000000001</v>
      </c>
      <c r="K8" s="2">
        <v>135237.1</v>
      </c>
      <c r="L8" s="7">
        <v>2315113</v>
      </c>
    </row>
    <row r="9" spans="1:12" x14ac:dyDescent="0.3">
      <c r="A9" s="8">
        <v>2017</v>
      </c>
      <c r="B9" s="2">
        <v>6.7953841802773196</v>
      </c>
      <c r="C9" s="2">
        <v>11.0343654089755</v>
      </c>
      <c r="D9" s="2">
        <v>1200934.1000000001</v>
      </c>
      <c r="E9" s="2">
        <v>1058642.8</v>
      </c>
      <c r="F9" s="2">
        <v>424798</v>
      </c>
      <c r="G9" s="2">
        <v>112193.60000000001</v>
      </c>
      <c r="H9" s="2">
        <v>62677.2</v>
      </c>
      <c r="I9" s="2">
        <v>132244.5</v>
      </c>
      <c r="J9" s="2">
        <v>103858.5</v>
      </c>
      <c r="K9" s="2">
        <v>125126.8</v>
      </c>
      <c r="L9" s="7">
        <v>2141973</v>
      </c>
    </row>
    <row r="10" spans="1:12" x14ac:dyDescent="0.3">
      <c r="A10" s="8">
        <v>2016</v>
      </c>
      <c r="B10" s="2">
        <v>8.2563035380364997</v>
      </c>
      <c r="C10" s="2">
        <v>11.761617448667399</v>
      </c>
      <c r="D10" s="2">
        <v>1128188.3</v>
      </c>
      <c r="E10" s="2">
        <v>973062.7</v>
      </c>
      <c r="F10" s="2">
        <v>386926</v>
      </c>
      <c r="G10" s="2">
        <v>93457.5</v>
      </c>
      <c r="H10" s="2">
        <v>61207.5</v>
      </c>
      <c r="I10" s="2">
        <v>126248.3</v>
      </c>
      <c r="J10" s="2">
        <v>98085.9</v>
      </c>
      <c r="K10" s="2">
        <v>113884.1</v>
      </c>
      <c r="L10" s="7">
        <v>1975194</v>
      </c>
    </row>
    <row r="11" spans="1:12" x14ac:dyDescent="0.3">
      <c r="A11" s="8">
        <v>2015</v>
      </c>
      <c r="B11" s="2">
        <v>7.9962537856642104</v>
      </c>
      <c r="C11" s="2">
        <v>10.4581235445612</v>
      </c>
      <c r="D11" s="2">
        <v>968936.4</v>
      </c>
      <c r="E11" s="2">
        <v>861451.9</v>
      </c>
      <c r="F11" s="2">
        <v>349494.1</v>
      </c>
      <c r="G11" s="2">
        <v>81008.899999999994</v>
      </c>
      <c r="H11" s="2">
        <v>43003.199999999997</v>
      </c>
      <c r="I11" s="2">
        <v>107971</v>
      </c>
      <c r="J11" s="2">
        <v>90270.8</v>
      </c>
      <c r="K11" s="2">
        <v>98665.9</v>
      </c>
      <c r="L11" s="7">
        <v>1790783</v>
      </c>
    </row>
    <row r="12" spans="1:12" x14ac:dyDescent="0.3">
      <c r="A12" s="8">
        <v>2014</v>
      </c>
      <c r="B12" s="2">
        <v>7.4102270125049996</v>
      </c>
      <c r="C12" s="2">
        <v>10.988875293007</v>
      </c>
      <c r="D12" s="2">
        <v>830060</v>
      </c>
      <c r="E12" s="2">
        <v>740020.3</v>
      </c>
      <c r="F12" s="2">
        <v>315425.7</v>
      </c>
      <c r="G12" s="2">
        <v>70595.399999999994</v>
      </c>
      <c r="H12" s="2">
        <v>34408.300000000003</v>
      </c>
      <c r="I12" s="2">
        <v>95222.5</v>
      </c>
      <c r="J12" s="2">
        <v>72280.899999999994</v>
      </c>
      <c r="K12" s="2">
        <v>83860</v>
      </c>
      <c r="L12" s="7">
        <v>1663673</v>
      </c>
    </row>
    <row r="13" spans="1:12" x14ac:dyDescent="0.3">
      <c r="A13" s="8">
        <v>2013</v>
      </c>
      <c r="B13" s="2">
        <v>6.3861082157192399</v>
      </c>
      <c r="C13" s="2">
        <v>12.9676871297309</v>
      </c>
      <c r="D13" s="2">
        <v>679201.1</v>
      </c>
      <c r="E13" s="2">
        <v>610293.80000000005</v>
      </c>
      <c r="F13" s="2">
        <v>273534.90000000002</v>
      </c>
      <c r="G13" s="2">
        <v>56389.1</v>
      </c>
      <c r="H13" s="2">
        <v>31530.6</v>
      </c>
      <c r="I13" s="2">
        <v>48773.5</v>
      </c>
      <c r="J13" s="2">
        <v>65543.5</v>
      </c>
      <c r="K13" s="2">
        <v>60923.6</v>
      </c>
      <c r="L13" s="7">
        <v>1559447</v>
      </c>
    </row>
    <row r="14" spans="1:12" x14ac:dyDescent="0.3">
      <c r="A14" s="8">
        <v>2012</v>
      </c>
      <c r="B14" s="2">
        <v>5.4563875358701397</v>
      </c>
      <c r="C14" s="2">
        <v>13.823705960237399</v>
      </c>
      <c r="D14" s="2">
        <v>602942.69999999995</v>
      </c>
      <c r="E14" s="2">
        <v>536676.1</v>
      </c>
      <c r="F14" s="2">
        <v>245401.5</v>
      </c>
      <c r="G14" s="2">
        <v>50641</v>
      </c>
      <c r="H14" s="2">
        <v>28344.5</v>
      </c>
      <c r="I14" s="2">
        <v>44370.400000000001</v>
      </c>
      <c r="J14" s="2">
        <v>55563.199999999997</v>
      </c>
      <c r="K14" s="2">
        <v>56458.1</v>
      </c>
      <c r="L14" s="7">
        <v>1410372</v>
      </c>
    </row>
    <row r="15" spans="1:12" x14ac:dyDescent="0.3">
      <c r="A15" s="8">
        <v>2011</v>
      </c>
      <c r="B15" s="2">
        <v>5.2413150014554404</v>
      </c>
      <c r="C15" s="2">
        <v>14.432649591771799</v>
      </c>
      <c r="D15" s="2">
        <v>523569.3</v>
      </c>
      <c r="E15" s="2">
        <v>467852</v>
      </c>
      <c r="F15" s="2">
        <v>216066.6</v>
      </c>
      <c r="G15" s="2">
        <v>43945.2</v>
      </c>
      <c r="H15" s="2">
        <v>22839.8</v>
      </c>
      <c r="I15" s="2">
        <v>37222.400000000001</v>
      </c>
      <c r="J15" s="2">
        <v>48506.9</v>
      </c>
      <c r="K15" s="2">
        <v>45901.7</v>
      </c>
      <c r="L15" s="7">
        <v>1304365</v>
      </c>
    </row>
    <row r="16" spans="1:12" x14ac:dyDescent="0.3">
      <c r="A16" s="8">
        <v>2010</v>
      </c>
      <c r="B16" s="2">
        <v>8.4975847015963595</v>
      </c>
      <c r="C16" s="2">
        <v>19.918073945529201</v>
      </c>
      <c r="D16" s="2">
        <v>451936.5</v>
      </c>
      <c r="E16" s="2">
        <v>402920</v>
      </c>
      <c r="F16" s="2">
        <v>187617.3</v>
      </c>
      <c r="G16" s="2">
        <v>38128.199999999997</v>
      </c>
      <c r="H16" s="2">
        <v>21653.5</v>
      </c>
      <c r="I16" s="2">
        <v>32594.3</v>
      </c>
      <c r="J16" s="2">
        <v>38729.9</v>
      </c>
      <c r="K16" s="2">
        <v>40748.5</v>
      </c>
      <c r="L16" s="7">
        <v>1197327</v>
      </c>
    </row>
    <row r="17" spans="1:12" x14ac:dyDescent="0.3">
      <c r="A17" s="8">
        <v>2009</v>
      </c>
      <c r="B17" s="2">
        <v>7.8618888330828103</v>
      </c>
      <c r="C17" s="2">
        <v>15.4557599718246</v>
      </c>
      <c r="D17" s="2">
        <v>399737.2</v>
      </c>
      <c r="E17" s="2">
        <v>348872.1</v>
      </c>
      <c r="F17" s="2">
        <v>151670.29999999999</v>
      </c>
      <c r="G17" s="2">
        <v>32611.5</v>
      </c>
      <c r="H17" s="2">
        <v>22744.400000000001</v>
      </c>
      <c r="I17" s="2">
        <v>35630.699999999997</v>
      </c>
      <c r="J17" s="2">
        <v>32848.9</v>
      </c>
      <c r="K17" s="2">
        <v>43059.8</v>
      </c>
      <c r="L17" s="7">
        <v>1024487</v>
      </c>
    </row>
    <row r="18" spans="1:12" x14ac:dyDescent="0.3">
      <c r="A18" s="8">
        <v>2008</v>
      </c>
      <c r="B18" s="2">
        <v>3.0866980595351401</v>
      </c>
      <c r="C18" s="2">
        <v>12.564457767999899</v>
      </c>
      <c r="D18" s="2">
        <v>331538.2</v>
      </c>
      <c r="E18" s="2">
        <v>285130.09999999998</v>
      </c>
      <c r="F18" s="2">
        <v>121276.3</v>
      </c>
      <c r="G18" s="2">
        <v>26160.799999999999</v>
      </c>
      <c r="H18" s="2">
        <v>21771.7</v>
      </c>
      <c r="I18" s="2">
        <v>26550.3</v>
      </c>
      <c r="J18" s="2">
        <v>25233.7</v>
      </c>
      <c r="K18" s="2">
        <v>38485.300000000003</v>
      </c>
      <c r="L18" s="7">
        <v>883956</v>
      </c>
    </row>
    <row r="19" spans="1:12" x14ac:dyDescent="0.3">
      <c r="A19" s="8">
        <v>2007</v>
      </c>
      <c r="B19" s="2">
        <v>7.6608150650215698</v>
      </c>
      <c r="C19" s="2">
        <v>15.1372323585018</v>
      </c>
      <c r="D19" s="2">
        <v>265466.40000000002</v>
      </c>
      <c r="E19" s="2">
        <v>228122.4</v>
      </c>
      <c r="F19" s="2">
        <v>100775.3</v>
      </c>
      <c r="G19" s="2">
        <v>21894.799999999999</v>
      </c>
      <c r="H19" s="2">
        <v>14219.1</v>
      </c>
      <c r="I19" s="2">
        <v>22203.3</v>
      </c>
      <c r="J19" s="2">
        <v>17611.8</v>
      </c>
      <c r="K19" s="2">
        <v>29818.9</v>
      </c>
      <c r="L19" s="7">
        <v>712671</v>
      </c>
    </row>
    <row r="20" spans="1:12" x14ac:dyDescent="0.3">
      <c r="A20" s="8">
        <v>2006</v>
      </c>
      <c r="B20" s="2">
        <v>8.0607325730550805</v>
      </c>
      <c r="C20" s="2">
        <v>17.138847953302399</v>
      </c>
      <c r="D20" s="2">
        <v>222988.2</v>
      </c>
      <c r="E20" s="2">
        <v>195626.4</v>
      </c>
      <c r="F20" s="2">
        <v>89578.3</v>
      </c>
      <c r="G20" s="2">
        <v>19161.8</v>
      </c>
      <c r="H20" s="2">
        <v>9470.5</v>
      </c>
      <c r="I20" s="2">
        <v>19315.3</v>
      </c>
      <c r="J20" s="2">
        <v>12917.2</v>
      </c>
      <c r="K20" s="2">
        <v>22615.3</v>
      </c>
      <c r="L20" s="7">
        <v>583387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G15" sqref="G15"/>
    </sheetView>
  </sheetViews>
  <sheetFormatPr defaultRowHeight="14.4" x14ac:dyDescent="0.3"/>
  <cols>
    <col min="1" max="1" width="6.5546875" customWidth="1"/>
    <col min="2" max="2" width="23" customWidth="1"/>
    <col min="3" max="3" width="11.33203125" customWidth="1"/>
    <col min="4" max="4" width="9.5546875" bestFit="1" customWidth="1"/>
    <col min="5" max="5" width="19.88671875" customWidth="1"/>
    <col min="6" max="6" width="19" customWidth="1"/>
    <col min="7" max="7" width="9.5546875" bestFit="1" customWidth="1"/>
    <col min="8" max="8" width="11.44140625" style="11" customWidth="1"/>
    <col min="9" max="9" width="8.77734375" style="10" customWidth="1"/>
    <col min="10" max="10" width="9.6640625" customWidth="1"/>
    <col min="11" max="11" width="14" style="12" customWidth="1"/>
    <col min="12" max="12" width="14.6640625" style="15" customWidth="1"/>
    <col min="13" max="13" width="18.21875" style="14" customWidth="1"/>
    <col min="14" max="14" width="9.5546875" bestFit="1" customWidth="1"/>
  </cols>
  <sheetData>
    <row r="1" spans="1:14" x14ac:dyDescent="0.3">
      <c r="A1" s="9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21</v>
      </c>
      <c r="I1" s="2" t="s">
        <v>20</v>
      </c>
      <c r="J1" s="2" t="s">
        <v>19</v>
      </c>
      <c r="K1" s="2" t="s">
        <v>22</v>
      </c>
      <c r="L1" s="2" t="s">
        <v>24</v>
      </c>
      <c r="M1" s="2" t="s">
        <v>23</v>
      </c>
      <c r="N1" s="2" t="s">
        <v>18</v>
      </c>
    </row>
    <row r="2" spans="1:14" x14ac:dyDescent="0.3">
      <c r="A2" s="8">
        <v>2024</v>
      </c>
      <c r="B2" s="3">
        <v>2628986.7000000002</v>
      </c>
      <c r="C2" s="3">
        <v>803010</v>
      </c>
      <c r="D2" s="3">
        <v>259734.5</v>
      </c>
      <c r="E2" s="3">
        <v>126812.4</v>
      </c>
      <c r="F2" s="3">
        <v>227460.4</v>
      </c>
      <c r="G2" s="3">
        <v>339584.6</v>
      </c>
      <c r="H2" s="13">
        <v>44483.4</v>
      </c>
      <c r="I2" s="16">
        <v>22398</v>
      </c>
      <c r="J2" s="13">
        <v>60959.7</v>
      </c>
      <c r="K2" s="16">
        <v>38706</v>
      </c>
      <c r="L2" s="13">
        <v>364988.1</v>
      </c>
      <c r="M2" s="13">
        <v>43288.1</v>
      </c>
      <c r="N2" s="2">
        <f>B2-(C2+D2+E2+F2+G2+H2+I2+J2+K2+M2+L2)</f>
        <v>297561.50000000047</v>
      </c>
    </row>
    <row r="3" spans="1:14" x14ac:dyDescent="0.3">
      <c r="A3" s="8"/>
    </row>
    <row r="4" spans="1:14" x14ac:dyDescent="0.3">
      <c r="A4" s="8"/>
    </row>
    <row r="5" spans="1:14" x14ac:dyDescent="0.3">
      <c r="A5" s="8"/>
    </row>
    <row r="6" spans="1:14" x14ac:dyDescent="0.3">
      <c r="A6" s="8"/>
    </row>
    <row r="7" spans="1:14" x14ac:dyDescent="0.3">
      <c r="A7" s="8"/>
    </row>
    <row r="8" spans="1:14" x14ac:dyDescent="0.3">
      <c r="A8" s="8"/>
    </row>
    <row r="9" spans="1:14" x14ac:dyDescent="0.3">
      <c r="A9" s="8"/>
    </row>
    <row r="10" spans="1:14" x14ac:dyDescent="0.3">
      <c r="A10" s="8"/>
    </row>
    <row r="11" spans="1:14" x14ac:dyDescent="0.3">
      <c r="A11" s="8"/>
    </row>
    <row r="12" spans="1:14" x14ac:dyDescent="0.3">
      <c r="A12" s="8"/>
    </row>
    <row r="13" spans="1:14" x14ac:dyDescent="0.3">
      <c r="A13" s="8"/>
    </row>
    <row r="14" spans="1:14" x14ac:dyDescent="0.3">
      <c r="A14" s="8"/>
    </row>
    <row r="15" spans="1:14" x14ac:dyDescent="0.3">
      <c r="A15" s="8"/>
    </row>
    <row r="16" spans="1:14" x14ac:dyDescent="0.3">
      <c r="A16" s="8"/>
    </row>
    <row r="17" spans="1:1" x14ac:dyDescent="0.3">
      <c r="A17" s="8"/>
    </row>
    <row r="18" spans="1:1" x14ac:dyDescent="0.3">
      <c r="A18" s="8"/>
    </row>
    <row r="19" spans="1:1" x14ac:dyDescent="0.3">
      <c r="A19" s="8"/>
    </row>
    <row r="20" spans="1:1" x14ac:dyDescent="0.3">
      <c r="A20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3"/>
  <sheetViews>
    <sheetView tabSelected="1" topLeftCell="A11" workbookViewId="0">
      <selection activeCell="E19" sqref="E19"/>
    </sheetView>
  </sheetViews>
  <sheetFormatPr defaultRowHeight="14.4" x14ac:dyDescent="0.3"/>
  <cols>
    <col min="2" max="2" width="13" bestFit="1" customWidth="1"/>
    <col min="3" max="19" width="12.109375" bestFit="1" customWidth="1"/>
  </cols>
  <sheetData>
    <row r="2" spans="2:3" x14ac:dyDescent="0.3">
      <c r="B2" s="17" t="s">
        <v>25</v>
      </c>
      <c r="C2" s="18" t="s">
        <v>26</v>
      </c>
    </row>
    <row r="3" spans="2:3" ht="26.4" x14ac:dyDescent="0.3">
      <c r="B3" s="19" t="s">
        <v>27</v>
      </c>
      <c r="C3" s="20">
        <v>146270.1</v>
      </c>
    </row>
    <row r="4" spans="2:3" ht="26.4" x14ac:dyDescent="0.3">
      <c r="B4" s="19" t="s">
        <v>28</v>
      </c>
      <c r="C4" s="20">
        <v>11194.4</v>
      </c>
    </row>
    <row r="5" spans="2:3" x14ac:dyDescent="0.3">
      <c r="B5" s="19" t="s">
        <v>29</v>
      </c>
      <c r="C5" s="20">
        <v>60961.599999999999</v>
      </c>
    </row>
    <row r="6" spans="2:3" x14ac:dyDescent="0.3">
      <c r="B6" s="19" t="s">
        <v>30</v>
      </c>
      <c r="C6" s="20">
        <v>136876.20000000001</v>
      </c>
    </row>
    <row r="7" spans="2:3" x14ac:dyDescent="0.3">
      <c r="B7" s="19" t="s">
        <v>31</v>
      </c>
      <c r="C7" s="20">
        <v>79629</v>
      </c>
    </row>
    <row r="8" spans="2:3" x14ac:dyDescent="0.3">
      <c r="B8" s="19" t="s">
        <v>32</v>
      </c>
      <c r="C8" s="20">
        <v>9041</v>
      </c>
    </row>
    <row r="9" spans="2:3" x14ac:dyDescent="0.3">
      <c r="B9" s="19" t="s">
        <v>33</v>
      </c>
      <c r="C9" s="20">
        <v>126931.4</v>
      </c>
    </row>
    <row r="10" spans="2:3" x14ac:dyDescent="0.3">
      <c r="B10" s="19" t="s">
        <v>34</v>
      </c>
      <c r="C10" s="20">
        <v>68785.8</v>
      </c>
    </row>
    <row r="11" spans="2:3" ht="26.4" x14ac:dyDescent="0.3">
      <c r="B11" s="19" t="s">
        <v>35</v>
      </c>
      <c r="C11" s="20">
        <v>22039.3</v>
      </c>
    </row>
    <row r="12" spans="2:3" x14ac:dyDescent="0.3">
      <c r="B12" s="19" t="s">
        <v>36</v>
      </c>
      <c r="C12" s="20">
        <v>63970.2</v>
      </c>
    </row>
    <row r="13" spans="2:3" x14ac:dyDescent="0.3">
      <c r="B13" s="19" t="s">
        <v>37</v>
      </c>
      <c r="C13" s="20">
        <v>154971.29999999999</v>
      </c>
    </row>
    <row r="14" spans="2:3" x14ac:dyDescent="0.3">
      <c r="B14" s="19" t="s">
        <v>38</v>
      </c>
      <c r="C14" s="20">
        <v>64950.400000000001</v>
      </c>
    </row>
    <row r="15" spans="2:3" ht="26.4" x14ac:dyDescent="0.3">
      <c r="B15" s="19" t="s">
        <v>39</v>
      </c>
      <c r="C15" s="20">
        <v>160339.79999999999</v>
      </c>
    </row>
    <row r="16" spans="2:3" x14ac:dyDescent="0.3">
      <c r="B16" s="19" t="s">
        <v>40</v>
      </c>
      <c r="C16" s="20">
        <v>262177.5</v>
      </c>
    </row>
    <row r="17" spans="2:3" x14ac:dyDescent="0.3">
      <c r="B17" s="19" t="s">
        <v>41</v>
      </c>
      <c r="C17" s="20">
        <v>14213.1</v>
      </c>
    </row>
    <row r="18" spans="2:3" x14ac:dyDescent="0.3">
      <c r="B18" s="19" t="s">
        <v>42</v>
      </c>
      <c r="C18" s="20">
        <v>11398.2</v>
      </c>
    </row>
    <row r="19" spans="2:3" x14ac:dyDescent="0.3">
      <c r="B19" s="19" t="s">
        <v>43</v>
      </c>
      <c r="C19" s="20">
        <v>5542</v>
      </c>
    </row>
    <row r="20" spans="2:3" x14ac:dyDescent="0.3">
      <c r="B20" s="19" t="s">
        <v>44</v>
      </c>
      <c r="C20" s="20">
        <v>7051.7</v>
      </c>
    </row>
    <row r="21" spans="2:3" x14ac:dyDescent="0.3">
      <c r="B21" s="19" t="s">
        <v>45</v>
      </c>
      <c r="C21" s="20">
        <v>128930.9</v>
      </c>
    </row>
    <row r="22" spans="2:3" x14ac:dyDescent="0.3">
      <c r="B22" s="19" t="s">
        <v>46</v>
      </c>
      <c r="C22" s="20">
        <v>40774.5</v>
      </c>
    </row>
    <row r="23" spans="2:3" x14ac:dyDescent="0.3">
      <c r="B23" s="19" t="s">
        <v>47</v>
      </c>
      <c r="C23" s="20">
        <v>171950.6</v>
      </c>
    </row>
    <row r="24" spans="2:3" x14ac:dyDescent="0.3">
      <c r="B24" s="19" t="s">
        <v>48</v>
      </c>
      <c r="C24" s="20">
        <v>5292.7</v>
      </c>
    </row>
    <row r="25" spans="2:3" x14ac:dyDescent="0.3">
      <c r="B25" s="19" t="s">
        <v>49</v>
      </c>
      <c r="C25" s="20">
        <v>159575.5</v>
      </c>
    </row>
    <row r="26" spans="2:3" x14ac:dyDescent="0.3">
      <c r="B26" s="19" t="s">
        <v>50</v>
      </c>
      <c r="C26" s="20">
        <v>118787.6</v>
      </c>
    </row>
    <row r="27" spans="2:3" x14ac:dyDescent="0.3">
      <c r="B27" s="19" t="s">
        <v>51</v>
      </c>
      <c r="C27" s="20">
        <v>12383.1</v>
      </c>
    </row>
    <row r="28" spans="2:3" x14ac:dyDescent="0.3">
      <c r="B28" s="19" t="s">
        <v>52</v>
      </c>
      <c r="C28" s="20">
        <v>287847.2</v>
      </c>
    </row>
    <row r="29" spans="2:3" x14ac:dyDescent="0.3">
      <c r="B29" s="19" t="s">
        <v>53</v>
      </c>
      <c r="C29" s="20">
        <v>30609.3</v>
      </c>
    </row>
    <row r="30" spans="2:3" x14ac:dyDescent="0.3">
      <c r="B30" s="19" t="s">
        <v>54</v>
      </c>
      <c r="C30" s="20">
        <v>175474.1</v>
      </c>
    </row>
    <row r="31" spans="2:3" ht="26.4" x14ac:dyDescent="0.3">
      <c r="B31" s="19" t="s">
        <v>55</v>
      </c>
      <c r="C31" s="20">
        <v>42614</v>
      </c>
    </row>
    <row r="32" spans="2:3" x14ac:dyDescent="0.3">
      <c r="B32" s="19" t="s">
        <v>56</v>
      </c>
      <c r="C32" s="20">
        <v>43716.3</v>
      </c>
    </row>
    <row r="33" spans="2:3" x14ac:dyDescent="0.3">
      <c r="B33" s="19" t="s">
        <v>57</v>
      </c>
      <c r="C33" s="20">
        <v>4688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2025-10-29T20:58:33Z</dcterms:created>
  <dcterms:modified xsi:type="dcterms:W3CDTF">2025-10-29T21:52:23Z</dcterms:modified>
</cp:coreProperties>
</file>